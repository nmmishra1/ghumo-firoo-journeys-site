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202300"/>
  <mc:AlternateContent xmlns:mc="http://schemas.openxmlformats.org/markup-compatibility/2006">
    <mc:Choice Requires="x15">
      <x15ac:absPath xmlns:x15ac="http://schemas.microsoft.com/office/spreadsheetml/2010/11/ac" url="D:\Travel Itenerary Cost Calculation\New Calculation\Kerala\"/>
    </mc:Choice>
  </mc:AlternateContent>
  <xr:revisionPtr revIDLastSave="0" documentId="13_ncr:1_{9FAF9C27-D738-46DA-AAF8-A6C0C11A4127}" xr6:coauthVersionLast="47" xr6:coauthVersionMax="47" xr10:uidLastSave="{00000000-0000-0000-0000-000000000000}"/>
  <bookViews>
    <workbookView xWindow="-120" yWindow="-120" windowWidth="20730" windowHeight="11160" xr2:uid="{F127F08D-8F0B-424F-A0B0-E91BAF7323FE}"/>
  </bookViews>
  <sheets>
    <sheet name="Summary" sheetId="3" r:id="rId1"/>
    <sheet name="Raw" sheetId="1" r:id="rId2"/>
    <sheet name="Price" sheetId="5" r:id="rId3"/>
    <sheet name="ActivitiesMaster" sheetId="6" r:id="rId4"/>
    <sheet name="Day Wise Exursion" sheetId="7" r:id="rId5"/>
    <sheet name="Sheet2" sheetId="2" r:id="rId6"/>
  </sheets>
  <definedNames>
    <definedName name="City">Sheet2!$B$2:$B$10</definedName>
    <definedName name="Day_Wise_Exursion">'Day Wise Exursion'!$B$27:$B$37</definedName>
    <definedName name="ExternalData_1" localSheetId="2" hidden="1">Price!$A$1:$B$435</definedName>
    <definedName name="ExternalData_2" localSheetId="2" hidden="1">Price!$D$1:$E$435</definedName>
    <definedName name="Header">Sheet2!$H$12:$FH$12</definedName>
    <definedName name="MYName">IF(INDEX(Sheet2!$H$13:$FH$19,0,MATCH(Summary!XFD1,Header,0))=0,"",INDEX(Sheet2!$H$13:$FH$19,0,MATCH(Summary!XFD1,Header,0)))</definedName>
    <definedName name="Type">INDEX(Sheet2!$H$13:$FH$18,0,MATCH(Summary!$E11,Header,0))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Q26" i="3" s="1"/>
  <c r="D50" i="3" a="1"/>
  <c r="D50" i="3" s="1"/>
  <c r="Q25" i="3" l="1"/>
  <c r="D48" i="3"/>
  <c r="AE26" i="3"/>
  <c r="AD27" i="3"/>
  <c r="AD28" i="3"/>
  <c r="AD29" i="3"/>
  <c r="AD30" i="3"/>
  <c r="AD26" i="3"/>
  <c r="H100" i="1"/>
  <c r="H59" i="1"/>
  <c r="H58" i="1"/>
  <c r="A2" i="7"/>
  <c r="K18" i="3"/>
  <c r="G26" i="3"/>
  <c r="B27" i="3" l="1"/>
  <c r="B28" i="3"/>
  <c r="B29" i="3"/>
  <c r="B30" i="3"/>
  <c r="B31" i="3"/>
  <c r="B32" i="3"/>
  <c r="B33" i="3"/>
  <c r="B34" i="3"/>
  <c r="B35" i="3"/>
  <c r="B36" i="3"/>
  <c r="A27" i="3"/>
  <c r="A28" i="3"/>
  <c r="A29" i="3"/>
  <c r="A30" i="3"/>
  <c r="A31" i="3"/>
  <c r="A32" i="3"/>
  <c r="A33" i="3"/>
  <c r="A34" i="3"/>
  <c r="A35" i="3"/>
  <c r="A36" i="3"/>
  <c r="A26" i="3"/>
  <c r="D98" i="3"/>
  <c r="D94" i="3"/>
  <c r="D90" i="3"/>
  <c r="D86" i="3"/>
  <c r="D82" i="3"/>
  <c r="D78" i="3"/>
  <c r="D74" i="3"/>
  <c r="D70" i="3"/>
  <c r="D66" i="3"/>
  <c r="D62" i="3"/>
  <c r="G32" i="3" l="1"/>
  <c r="G33" i="3"/>
  <c r="G34" i="3"/>
  <c r="G35" i="3"/>
  <c r="G36" i="3"/>
  <c r="D49" i="3" l="1" a="1"/>
  <c r="D49" i="3" s="1"/>
  <c r="A19" i="7"/>
  <c r="A20" i="7"/>
  <c r="A21" i="7"/>
  <c r="A22" i="7"/>
  <c r="A23" i="7"/>
  <c r="A24" i="7"/>
  <c r="A25" i="7"/>
  <c r="A26" i="7"/>
  <c r="A27" i="7"/>
  <c r="A28" i="7"/>
  <c r="A29" i="7"/>
  <c r="A30" i="7"/>
  <c r="A31" i="7"/>
  <c r="A32" i="7"/>
  <c r="A11" i="7"/>
  <c r="A12" i="7"/>
  <c r="A13" i="7"/>
  <c r="A14" i="7"/>
  <c r="A15" i="7"/>
  <c r="A16" i="7"/>
  <c r="A17" i="7"/>
  <c r="A18" i="7"/>
  <c r="A3" i="7"/>
  <c r="A4" i="7"/>
  <c r="A5" i="7"/>
  <c r="A6" i="7"/>
  <c r="A7" i="7"/>
  <c r="A8" i="7"/>
  <c r="A9" i="7"/>
  <c r="A10" i="7"/>
  <c r="R27" i="3"/>
  <c r="R28" i="3"/>
  <c r="R26" i="3"/>
  <c r="S26" i="3" l="1"/>
  <c r="K17" i="3"/>
  <c r="N30" i="3" s="1"/>
  <c r="U26" i="3"/>
  <c r="Q27" i="3"/>
  <c r="Q28" i="3"/>
  <c r="U28" i="3" s="1"/>
  <c r="U32" i="3"/>
  <c r="U33" i="3"/>
  <c r="U34" i="3"/>
  <c r="U35" i="3"/>
  <c r="O26" i="3"/>
  <c r="P26" i="3"/>
  <c r="L26" i="3"/>
  <c r="O27" i="3"/>
  <c r="P27" i="3"/>
  <c r="L27" i="3"/>
  <c r="O28" i="3"/>
  <c r="P28" i="3"/>
  <c r="L28" i="3"/>
  <c r="T32" i="3"/>
  <c r="T33" i="3"/>
  <c r="T34" i="3"/>
  <c r="T35" i="3"/>
  <c r="R29" i="3"/>
  <c r="R30" i="3"/>
  <c r="R31" i="3"/>
  <c r="R32" i="3"/>
  <c r="R33" i="3"/>
  <c r="R34" i="3"/>
  <c r="R35" i="3"/>
  <c r="R36" i="3"/>
  <c r="V36" i="3" s="1"/>
  <c r="S27" i="3"/>
  <c r="S28" i="3"/>
  <c r="S29" i="3"/>
  <c r="S30" i="3"/>
  <c r="S31" i="3"/>
  <c r="S32" i="3"/>
  <c r="D55" i="3" a="1"/>
  <c r="D55" i="3" s="1"/>
  <c r="D56" i="3" a="1"/>
  <c r="D56" i="3" s="1"/>
  <c r="D52" i="3" a="1"/>
  <c r="D52" i="3" s="1"/>
  <c r="D53" i="3" a="1"/>
  <c r="D53" i="3" s="1"/>
  <c r="D54" i="3" a="1"/>
  <c r="D54" i="3" s="1"/>
  <c r="D51" i="3" a="1"/>
  <c r="D51" i="3" s="1"/>
  <c r="I35" i="3"/>
  <c r="I36" i="3"/>
  <c r="H26" i="3"/>
  <c r="J27" i="3"/>
  <c r="H32" i="3"/>
  <c r="H33" i="3"/>
  <c r="H34" i="3"/>
  <c r="J17" i="3"/>
  <c r="U25" i="3"/>
  <c r="F19" i="3" a="1"/>
  <c r="F19" i="3" s="1"/>
  <c r="Q33" i="3"/>
  <c r="Q34" i="3"/>
  <c r="Q35" i="3"/>
  <c r="Q36" i="3"/>
  <c r="P29" i="3"/>
  <c r="P30" i="3"/>
  <c r="P31" i="3"/>
  <c r="P32" i="3"/>
  <c r="P33" i="3"/>
  <c r="P34" i="3"/>
  <c r="P35" i="3"/>
  <c r="P36" i="3"/>
  <c r="O33" i="3"/>
  <c r="O34" i="3"/>
  <c r="O35" i="3"/>
  <c r="O36" i="3"/>
  <c r="Q29" i="3"/>
  <c r="U29" i="3" s="1"/>
  <c r="Q30" i="3"/>
  <c r="U30" i="3" s="1"/>
  <c r="Q31" i="3"/>
  <c r="U31" i="3" s="1"/>
  <c r="Q32" i="3"/>
  <c r="W33" i="3"/>
  <c r="W34" i="3"/>
  <c r="W35" i="3"/>
  <c r="L29" i="3"/>
  <c r="L30" i="3"/>
  <c r="L31" i="3"/>
  <c r="L32" i="3"/>
  <c r="L33" i="3"/>
  <c r="L34" i="3"/>
  <c r="L35" i="3"/>
  <c r="L36" i="3"/>
  <c r="O29" i="3"/>
  <c r="O30" i="3"/>
  <c r="O31" i="3"/>
  <c r="O32" i="3"/>
  <c r="N33" i="3"/>
  <c r="N34" i="3"/>
  <c r="N35" i="3"/>
  <c r="N36" i="3"/>
  <c r="M27" i="3"/>
  <c r="M28" i="3"/>
  <c r="M29" i="3"/>
  <c r="M30" i="3"/>
  <c r="M31" i="3"/>
  <c r="M32" i="3"/>
  <c r="M33" i="3"/>
  <c r="M34" i="3"/>
  <c r="M35" i="3"/>
  <c r="M36" i="3"/>
  <c r="M26" i="3"/>
  <c r="J28" i="3"/>
  <c r="J29" i="3"/>
  <c r="J30" i="3"/>
  <c r="J31" i="3"/>
  <c r="J32" i="3"/>
  <c r="J33" i="3"/>
  <c r="J34" i="3"/>
  <c r="J35" i="3"/>
  <c r="J36" i="3"/>
  <c r="J26" i="3"/>
  <c r="P24" i="2" a="1"/>
  <c r="P24" i="2" s="1"/>
  <c r="Q24" i="2" a="1"/>
  <c r="Q24" i="2" s="1"/>
  <c r="R24" i="2" a="1"/>
  <c r="R24" i="2" s="1"/>
  <c r="S24" i="2" a="1"/>
  <c r="S24" i="2" s="1"/>
  <c r="T24" i="2" a="1"/>
  <c r="T24" i="2" s="1"/>
  <c r="U24" i="2" a="1"/>
  <c r="U24" i="2" s="1"/>
  <c r="V24" i="2" a="1"/>
  <c r="V24" i="2" s="1"/>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W32" i="3"/>
  <c r="B2" i="2" a="1"/>
  <c r="B2" i="2" s="1"/>
  <c r="H23" i="2" s="1" a="1"/>
  <c r="L24" i="2" s="1" a="1"/>
  <c r="L24" i="2" s="1"/>
  <c r="N31" i="3"/>
  <c r="N32" i="3"/>
  <c r="N27" i="3"/>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B13" i="2" a="1"/>
  <c r="A193" i="2" s="1"/>
  <c r="W31" i="3" l="1"/>
  <c r="N29" i="3"/>
  <c r="C198" i="2"/>
  <c r="A200" i="2"/>
  <c r="A201" i="2"/>
  <c r="C197" i="2"/>
  <c r="A199" i="2"/>
  <c r="C199" i="2"/>
  <c r="C200" i="2"/>
  <c r="A198" i="2"/>
  <c r="A197" i="2"/>
  <c r="C196" i="2"/>
  <c r="A192" i="2"/>
  <c r="C190" i="2"/>
  <c r="C194" i="2"/>
  <c r="C189" i="2"/>
  <c r="A196" i="2"/>
  <c r="A191" i="2"/>
  <c r="C193" i="2"/>
  <c r="C188" i="2"/>
  <c r="A195" i="2"/>
  <c r="A189" i="2"/>
  <c r="C192" i="2"/>
  <c r="C186" i="2"/>
  <c r="A190" i="2"/>
  <c r="A194" i="2"/>
  <c r="C191" i="2"/>
  <c r="C195" i="2"/>
  <c r="C187" i="2"/>
  <c r="A188" i="2"/>
  <c r="A183" i="2"/>
  <c r="C185" i="2"/>
  <c r="A185" i="2"/>
  <c r="A186" i="2"/>
  <c r="C184" i="2"/>
  <c r="A187" i="2"/>
  <c r="A184" i="2"/>
  <c r="C183" i="2"/>
  <c r="A182" i="2"/>
  <c r="C182" i="2"/>
  <c r="A181" i="2"/>
  <c r="C181" i="2"/>
  <c r="A180" i="2"/>
  <c r="C180" i="2"/>
  <c r="A179" i="2"/>
  <c r="C179" i="2"/>
  <c r="C178" i="2"/>
  <c r="C177" i="2"/>
  <c r="C174" i="2"/>
  <c r="A178" i="2"/>
  <c r="A175" i="2"/>
  <c r="A176" i="2"/>
  <c r="C175" i="2"/>
  <c r="C176" i="2"/>
  <c r="A177" i="2"/>
  <c r="C172" i="2"/>
  <c r="C173" i="2"/>
  <c r="A173" i="2"/>
  <c r="A174" i="2"/>
  <c r="T31" i="3"/>
  <c r="V31" i="3" s="1"/>
  <c r="Y31" i="3" s="1"/>
  <c r="A172" i="2"/>
  <c r="C166" i="2"/>
  <c r="A166" i="2"/>
  <c r="A167" i="2"/>
  <c r="A168" i="2"/>
  <c r="C171" i="2"/>
  <c r="A169" i="2"/>
  <c r="C168" i="2"/>
  <c r="C169" i="2"/>
  <c r="C167" i="2"/>
  <c r="C163" i="2"/>
  <c r="A171" i="2"/>
  <c r="C170" i="2"/>
  <c r="C165" i="2"/>
  <c r="A170" i="2"/>
  <c r="C164" i="2"/>
  <c r="A165" i="2"/>
  <c r="A163" i="2"/>
  <c r="A164" i="2"/>
  <c r="C162" i="2"/>
  <c r="C157" i="2"/>
  <c r="A162" i="2"/>
  <c r="C161" i="2"/>
  <c r="C153" i="2"/>
  <c r="A156" i="2"/>
  <c r="A159" i="2"/>
  <c r="C160" i="2"/>
  <c r="C158" i="2"/>
  <c r="A160" i="2"/>
  <c r="A157" i="2"/>
  <c r="C155" i="2"/>
  <c r="C156" i="2"/>
  <c r="C159" i="2"/>
  <c r="C154" i="2"/>
  <c r="A161" i="2"/>
  <c r="A158" i="2"/>
  <c r="A155" i="2"/>
  <c r="A154" i="2"/>
  <c r="C151" i="2"/>
  <c r="A153" i="2"/>
  <c r="C152" i="2"/>
  <c r="A151" i="2"/>
  <c r="C148" i="2"/>
  <c r="C150" i="2"/>
  <c r="A152" i="2"/>
  <c r="C145" i="2"/>
  <c r="C147" i="2"/>
  <c r="A149" i="2"/>
  <c r="A150" i="2"/>
  <c r="C149" i="2"/>
  <c r="A148" i="2"/>
  <c r="A146" i="2"/>
  <c r="C146" i="2"/>
  <c r="A147" i="2"/>
  <c r="C140" i="2"/>
  <c r="C141" i="2"/>
  <c r="C143" i="2"/>
  <c r="A144" i="2"/>
  <c r="C142" i="2"/>
  <c r="C144" i="2"/>
  <c r="A143" i="2"/>
  <c r="A142" i="2"/>
  <c r="A145" i="2"/>
  <c r="A139" i="2"/>
  <c r="A140" i="2"/>
  <c r="A141" i="2"/>
  <c r="C139" i="2"/>
  <c r="C138" i="2"/>
  <c r="A135" i="2"/>
  <c r="A136" i="2"/>
  <c r="A137" i="2"/>
  <c r="C135" i="2"/>
  <c r="C137" i="2"/>
  <c r="A138" i="2"/>
  <c r="C136" i="2"/>
  <c r="A134" i="2"/>
  <c r="C133" i="2"/>
  <c r="C134" i="2"/>
  <c r="C130" i="2"/>
  <c r="A133" i="2"/>
  <c r="C132" i="2"/>
  <c r="A132" i="2"/>
  <c r="C131" i="2"/>
  <c r="C126" i="2"/>
  <c r="A130" i="2"/>
  <c r="C127" i="2"/>
  <c r="A131" i="2"/>
  <c r="A128" i="2"/>
  <c r="C121" i="2"/>
  <c r="C129" i="2"/>
  <c r="A127" i="2"/>
  <c r="A129" i="2"/>
  <c r="C128" i="2"/>
  <c r="C125" i="2"/>
  <c r="A126" i="2"/>
  <c r="A125" i="2"/>
  <c r="C124" i="2"/>
  <c r="A124" i="2"/>
  <c r="C123" i="2"/>
  <c r="C118" i="2"/>
  <c r="A120" i="2"/>
  <c r="C120" i="2"/>
  <c r="C122" i="2"/>
  <c r="A121" i="2"/>
  <c r="A122" i="2"/>
  <c r="C119" i="2"/>
  <c r="A123" i="2"/>
  <c r="C114" i="2"/>
  <c r="A119" i="2"/>
  <c r="C117" i="2"/>
  <c r="A118" i="2"/>
  <c r="A116" i="2"/>
  <c r="A114" i="2"/>
  <c r="A115" i="2"/>
  <c r="C112" i="2"/>
  <c r="A117" i="2"/>
  <c r="C116" i="2"/>
  <c r="A113" i="2"/>
  <c r="C115" i="2"/>
  <c r="C113" i="2"/>
  <c r="C98" i="2"/>
  <c r="C110" i="2"/>
  <c r="C109" i="2"/>
  <c r="A110" i="2"/>
  <c r="A111" i="2"/>
  <c r="C111" i="2"/>
  <c r="A109" i="2"/>
  <c r="A112" i="2"/>
  <c r="C108" i="2"/>
  <c r="C105" i="2"/>
  <c r="C99" i="2"/>
  <c r="A106" i="2"/>
  <c r="C103" i="2"/>
  <c r="A102" i="2"/>
  <c r="A105" i="2"/>
  <c r="A99" i="2"/>
  <c r="A104" i="2"/>
  <c r="C102" i="2"/>
  <c r="C100" i="2"/>
  <c r="A101" i="2"/>
  <c r="A100" i="2"/>
  <c r="C106" i="2"/>
  <c r="C104" i="2"/>
  <c r="A103" i="2"/>
  <c r="C101" i="2"/>
  <c r="C97" i="2"/>
  <c r="A108" i="2"/>
  <c r="C107" i="2"/>
  <c r="A107" i="2"/>
  <c r="W30" i="3"/>
  <c r="W37" i="3" s="1"/>
  <c r="T30" i="3"/>
  <c r="V30" i="3" s="1"/>
  <c r="A98" i="2"/>
  <c r="C95" i="2"/>
  <c r="A95" i="2"/>
  <c r="C94" i="2"/>
  <c r="A96" i="2"/>
  <c r="A97" i="2"/>
  <c r="C96" i="2"/>
  <c r="C84" i="2"/>
  <c r="A93" i="2"/>
  <c r="C93" i="2"/>
  <c r="A92" i="2"/>
  <c r="A94" i="2"/>
  <c r="C91" i="2"/>
  <c r="C92" i="2"/>
  <c r="C90" i="2"/>
  <c r="A91" i="2"/>
  <c r="A86" i="2"/>
  <c r="A89" i="2"/>
  <c r="A88" i="2"/>
  <c r="C88" i="2"/>
  <c r="C89" i="2"/>
  <c r="C85" i="2"/>
  <c r="C87" i="2"/>
  <c r="A90" i="2"/>
  <c r="A87" i="2"/>
  <c r="C86" i="2"/>
  <c r="A85" i="2"/>
  <c r="A81" i="2"/>
  <c r="C83" i="2"/>
  <c r="A84" i="2"/>
  <c r="T29" i="3"/>
  <c r="V29" i="3" s="1"/>
  <c r="X29" i="3" s="1"/>
  <c r="A83" i="2"/>
  <c r="C82" i="2"/>
  <c r="A82" i="2"/>
  <c r="C81" i="2"/>
  <c r="G27" i="3"/>
  <c r="H27" i="3" s="1"/>
  <c r="C80" i="2"/>
  <c r="C79" i="2"/>
  <c r="A79" i="2"/>
  <c r="A80" i="2"/>
  <c r="C78" i="2"/>
  <c r="A78" i="2"/>
  <c r="C77" i="2"/>
  <c r="C70" i="2"/>
  <c r="A72" i="2"/>
  <c r="A69" i="2"/>
  <c r="C72" i="2"/>
  <c r="A76" i="2"/>
  <c r="A75" i="2"/>
  <c r="A77" i="2"/>
  <c r="C76" i="2"/>
  <c r="C67" i="2"/>
  <c r="A68" i="2"/>
  <c r="C74" i="2"/>
  <c r="C71" i="2"/>
  <c r="A74" i="2"/>
  <c r="C69" i="2"/>
  <c r="C68" i="2"/>
  <c r="C75" i="2"/>
  <c r="A70" i="2"/>
  <c r="A73" i="2"/>
  <c r="A71" i="2"/>
  <c r="C73" i="2"/>
  <c r="C65" i="2"/>
  <c r="C66" i="2"/>
  <c r="A67" i="2"/>
  <c r="F42" i="3"/>
  <c r="F41" i="3"/>
  <c r="F43" i="3" s="1"/>
  <c r="A66" i="2"/>
  <c r="A65" i="2"/>
  <c r="A62" i="2"/>
  <c r="C64" i="2"/>
  <c r="C62" i="2"/>
  <c r="C61" i="2"/>
  <c r="A63" i="2"/>
  <c r="A64" i="2"/>
  <c r="C63" i="2"/>
  <c r="R37" i="3"/>
  <c r="N26" i="3"/>
  <c r="V34" i="3"/>
  <c r="Y34" i="3" s="1"/>
  <c r="T28" i="3"/>
  <c r="V28" i="3" s="1"/>
  <c r="X28" i="3" s="1"/>
  <c r="C53" i="2"/>
  <c r="C59" i="2"/>
  <c r="A60" i="2"/>
  <c r="A51" i="2"/>
  <c r="A57" i="2"/>
  <c r="A54" i="2"/>
  <c r="A50" i="2"/>
  <c r="A29" i="2"/>
  <c r="A43" i="2"/>
  <c r="A38" i="2"/>
  <c r="A44" i="2"/>
  <c r="A39" i="2"/>
  <c r="A16" i="2"/>
  <c r="A48" i="2"/>
  <c r="A17" i="2"/>
  <c r="A49" i="2"/>
  <c r="C42" i="2"/>
  <c r="C19" i="2"/>
  <c r="C17" i="2"/>
  <c r="C24" i="2"/>
  <c r="C39" i="2"/>
  <c r="C46" i="2"/>
  <c r="C14" i="2"/>
  <c r="C21" i="2"/>
  <c r="C20" i="2"/>
  <c r="B13" i="2"/>
  <c r="A22" i="2"/>
  <c r="A23" i="2"/>
  <c r="A32" i="2"/>
  <c r="A33" i="2"/>
  <c r="C26" i="2"/>
  <c r="C40" i="2"/>
  <c r="C23" i="2"/>
  <c r="C37" i="2"/>
  <c r="A21" i="2"/>
  <c r="A31" i="2"/>
  <c r="A40" i="2"/>
  <c r="C27" i="2"/>
  <c r="C25" i="2"/>
  <c r="C47" i="2"/>
  <c r="C22" i="2"/>
  <c r="C28" i="2"/>
  <c r="C55" i="2"/>
  <c r="C58" i="2"/>
  <c r="C57" i="2"/>
  <c r="A59" i="2"/>
  <c r="A61" i="2"/>
  <c r="A58" i="2"/>
  <c r="C51" i="2"/>
  <c r="C60" i="2"/>
  <c r="C49" i="2"/>
  <c r="A37" i="2"/>
  <c r="A36" i="2"/>
  <c r="A46" i="2"/>
  <c r="A15" i="2"/>
  <c r="A47" i="2"/>
  <c r="A24" i="2"/>
  <c r="A18" i="2"/>
  <c r="A25" i="2"/>
  <c r="A35" i="2"/>
  <c r="C34" i="2"/>
  <c r="C41" i="2"/>
  <c r="C35" i="2"/>
  <c r="C16" i="2"/>
  <c r="C31" i="2"/>
  <c r="C38" i="2"/>
  <c r="C45" i="2"/>
  <c r="C44" i="2"/>
  <c r="C54" i="2"/>
  <c r="A52" i="2"/>
  <c r="A55" i="2"/>
  <c r="C56" i="2"/>
  <c r="A45" i="2"/>
  <c r="A42" i="2"/>
  <c r="A26" i="2"/>
  <c r="A19" i="2"/>
  <c r="C48" i="2"/>
  <c r="C33" i="2"/>
  <c r="C43" i="2"/>
  <c r="C30" i="2"/>
  <c r="C36" i="2"/>
  <c r="C29" i="2"/>
  <c r="C15" i="2"/>
  <c r="C32" i="2"/>
  <c r="C18" i="2"/>
  <c r="A41" i="2"/>
  <c r="A28" i="2"/>
  <c r="A20" i="2"/>
  <c r="A27" i="2"/>
  <c r="A30" i="2"/>
  <c r="A34" i="2"/>
  <c r="C52" i="2"/>
  <c r="A53" i="2"/>
  <c r="A56" i="2"/>
  <c r="C50" i="2"/>
  <c r="H23" i="2"/>
  <c r="H24" i="2" s="1" a="1"/>
  <c r="H24" i="2" s="1"/>
  <c r="O24" i="2" a="1"/>
  <c r="O24" i="2" s="1"/>
  <c r="K24" i="2" a="1"/>
  <c r="K24" i="2" s="1"/>
  <c r="M24" i="2" a="1"/>
  <c r="M24" i="2" s="1"/>
  <c r="I24" i="2" a="1"/>
  <c r="I24" i="2" s="1"/>
  <c r="N24" i="2" a="1"/>
  <c r="N24" i="2" s="1"/>
  <c r="J24" i="2" a="1"/>
  <c r="J24" i="2" s="1"/>
  <c r="I37" i="3"/>
  <c r="H37" i="3" s="1"/>
  <c r="K19" i="3" s="1"/>
  <c r="O37" i="3"/>
  <c r="P37" i="3"/>
  <c r="T26" i="3"/>
  <c r="V26" i="3" s="1"/>
  <c r="X26" i="3" s="1"/>
  <c r="Y36" i="3"/>
  <c r="X36" i="3"/>
  <c r="V35" i="3"/>
  <c r="X35" i="3" s="1"/>
  <c r="V33" i="3"/>
  <c r="Y33" i="3" s="1"/>
  <c r="N28" i="3"/>
  <c r="V32" i="3"/>
  <c r="Y32" i="3" s="1"/>
  <c r="S37" i="3"/>
  <c r="T27" i="3"/>
  <c r="U27" i="3"/>
  <c r="U37" i="3" s="1"/>
  <c r="Q37" i="3"/>
  <c r="X30" i="3" l="1"/>
  <c r="G28" i="3"/>
  <c r="H28" i="3" s="1"/>
  <c r="G29" i="3" s="1"/>
  <c r="H29" i="3" s="1"/>
  <c r="G30" i="3" s="1"/>
  <c r="H30" i="3" s="1"/>
  <c r="G31" i="3" s="1"/>
  <c r="H31" i="3" s="1"/>
  <c r="H17" i="3"/>
  <c r="F17" i="3"/>
  <c r="N42" i="3"/>
  <c r="D47" i="3"/>
  <c r="X34" i="3"/>
  <c r="X31" i="3"/>
  <c r="A13" i="2"/>
  <c r="C13" i="2"/>
  <c r="H12" i="2" s="1" a="1"/>
  <c r="A14" i="2"/>
  <c r="T37" i="3"/>
  <c r="N41" i="3" s="1"/>
  <c r="Y30" i="3"/>
  <c r="Y35" i="3"/>
  <c r="Y29" i="3"/>
  <c r="Y28" i="3"/>
  <c r="X33" i="3"/>
  <c r="X32" i="3"/>
  <c r="Y26" i="3"/>
  <c r="V27" i="3"/>
  <c r="Y27" i="3" s="1"/>
  <c r="ACI13" i="2" l="1" a="1"/>
  <c r="ACI13" i="2" s="1"/>
  <c r="V13" i="2" a="1"/>
  <c r="V13" i="2" s="1"/>
  <c r="N43" i="3"/>
  <c r="RR13" i="2" a="1"/>
  <c r="RR13" i="2" s="1"/>
  <c r="FK13" i="2" a="1"/>
  <c r="FK13" i="2" s="1"/>
  <c r="BU13" i="2" a="1"/>
  <c r="BU13" i="2" s="1"/>
  <c r="ABE13" i="2" a="1"/>
  <c r="ABE13" i="2" s="1"/>
  <c r="PY13" i="2" a="1"/>
  <c r="PY13" i="2" s="1"/>
  <c r="T13" i="2" a="1"/>
  <c r="T13" i="2" s="1"/>
  <c r="SE13" i="2" a="1"/>
  <c r="SE13" i="2" s="1"/>
  <c r="ID13" i="2" a="1"/>
  <c r="ID13" i="2" s="1"/>
  <c r="AD13" i="2" a="1"/>
  <c r="AD13" i="2" s="1"/>
  <c r="XL13" i="2" a="1"/>
  <c r="XL13" i="2" s="1"/>
  <c r="IK13" i="2" a="1"/>
  <c r="IK13" i="2" s="1"/>
  <c r="HN13" i="2" a="1"/>
  <c r="HN13" i="2" s="1"/>
  <c r="NN13" i="2" a="1"/>
  <c r="NN13" i="2" s="1"/>
  <c r="AAO13" i="2" a="1"/>
  <c r="AAO13" i="2" s="1"/>
  <c r="FJ13" i="2" a="1"/>
  <c r="FJ13" i="2" s="1"/>
  <c r="EH13" i="2" a="1"/>
  <c r="EH13" i="2" s="1"/>
  <c r="LW13" i="2" a="1"/>
  <c r="LW13" i="2" s="1"/>
  <c r="LP13" i="2" a="1"/>
  <c r="LP13" i="2" s="1"/>
  <c r="RZ13" i="2" a="1"/>
  <c r="RZ13" i="2" s="1"/>
  <c r="AY13" i="2" a="1"/>
  <c r="AY13" i="2" s="1"/>
  <c r="TW13" i="2" a="1"/>
  <c r="TW13" i="2" s="1"/>
  <c r="GM13" i="2" a="1"/>
  <c r="GM13" i="2" s="1"/>
  <c r="VC13" i="2" a="1"/>
  <c r="VC13" i="2" s="1"/>
  <c r="IO13" i="2" a="1"/>
  <c r="IO13" i="2" s="1"/>
  <c r="OH13" i="2" a="1"/>
  <c r="OH13" i="2" s="1"/>
  <c r="IR13" i="2" a="1"/>
  <c r="IR13" i="2" s="1"/>
  <c r="I13" i="2" a="1"/>
  <c r="I13" i="2" s="1"/>
  <c r="VT13" i="2" a="1"/>
  <c r="VT13" i="2" s="1"/>
  <c r="CB13" i="2" a="1"/>
  <c r="CB13" i="2" s="1"/>
  <c r="XT13" i="2" a="1"/>
  <c r="XT13" i="2" s="1"/>
  <c r="IH13" i="2" a="1"/>
  <c r="IH13" i="2" s="1"/>
  <c r="WH13" i="2" a="1"/>
  <c r="WH13" i="2" s="1"/>
  <c r="QO13" i="2" a="1"/>
  <c r="QO13" i="2" s="1"/>
  <c r="YF13" i="2" a="1"/>
  <c r="YF13" i="2" s="1"/>
  <c r="WA13" i="2" a="1"/>
  <c r="WA13" i="2" s="1"/>
  <c r="XZ13" i="2" a="1"/>
  <c r="XZ13" i="2" s="1"/>
  <c r="YU13" i="2" a="1"/>
  <c r="YU13" i="2" s="1"/>
  <c r="TA13" i="2" a="1"/>
  <c r="TA13" i="2" s="1"/>
  <c r="VW13" i="2" a="1"/>
  <c r="VW13" i="2" s="1"/>
  <c r="SK13" i="2" a="1"/>
  <c r="SK13" i="2" s="1"/>
  <c r="ACZ13" i="2" a="1"/>
  <c r="ACZ13" i="2" s="1"/>
  <c r="RQ13" i="2" a="1"/>
  <c r="RQ13" i="2" s="1"/>
  <c r="FN13" i="2" a="1"/>
  <c r="FN13" i="2" s="1"/>
  <c r="YO13" i="2" a="1"/>
  <c r="YO13" i="2" s="1"/>
  <c r="IZ13" i="2" a="1"/>
  <c r="IZ13" i="2" s="1"/>
  <c r="KH13" i="2" a="1"/>
  <c r="KH13" i="2" s="1"/>
  <c r="ADE13" i="2" a="1"/>
  <c r="ADE13" i="2" s="1"/>
  <c r="ABF13" i="2" a="1"/>
  <c r="ABF13" i="2" s="1"/>
  <c r="Q13" i="2" a="1"/>
  <c r="Q13" i="2" s="1"/>
  <c r="NE13" i="2" a="1"/>
  <c r="NE13" i="2" s="1"/>
  <c r="IG13" i="2" a="1"/>
  <c r="IG13" i="2" s="1"/>
  <c r="BJ13" i="2" a="1"/>
  <c r="BJ13" i="2" s="1"/>
  <c r="BO13" i="2" a="1"/>
  <c r="BO13" i="2" s="1"/>
  <c r="JQ13" i="2" a="1"/>
  <c r="JQ13" i="2" s="1"/>
  <c r="MS13" i="2" a="1"/>
  <c r="MS13" i="2" s="1"/>
  <c r="J13" i="2" a="1"/>
  <c r="J13" i="2" s="1"/>
  <c r="XE13" i="2" a="1"/>
  <c r="XE13" i="2" s="1"/>
  <c r="QK13" i="2" a="1"/>
  <c r="QK13" i="2" s="1"/>
  <c r="XH13" i="2" a="1"/>
  <c r="XH13" i="2" s="1"/>
  <c r="LB13" i="2" a="1"/>
  <c r="LB13" i="2" s="1"/>
  <c r="DN13" i="2" a="1"/>
  <c r="DN13" i="2" s="1"/>
  <c r="EI13" i="2" a="1"/>
  <c r="EI13" i="2" s="1"/>
  <c r="MP13" i="2" a="1"/>
  <c r="MP13" i="2" s="1"/>
  <c r="K13" i="2" a="1"/>
  <c r="K13" i="2" s="1"/>
  <c r="WY13" i="2" a="1"/>
  <c r="WY13" i="2" s="1"/>
  <c r="LJ13" i="2" a="1"/>
  <c r="LJ13" i="2" s="1"/>
  <c r="OU13" i="2" a="1"/>
  <c r="OU13" i="2" s="1"/>
  <c r="GL13" i="2" a="1"/>
  <c r="GL13" i="2" s="1"/>
  <c r="HB13" i="2" a="1"/>
  <c r="HB13" i="2" s="1"/>
  <c r="RO13" i="2" a="1"/>
  <c r="RO13" i="2" s="1"/>
  <c r="N13" i="2" a="1"/>
  <c r="N13" i="2" s="1"/>
  <c r="ZX13" i="2" a="1"/>
  <c r="ZX13" i="2" s="1"/>
  <c r="AZ13" i="2" a="1"/>
  <c r="AZ13" i="2" s="1"/>
  <c r="PA13" i="2" a="1"/>
  <c r="PA13" i="2" s="1"/>
  <c r="DE13" i="2" a="1"/>
  <c r="DE13" i="2" s="1"/>
  <c r="BE13" i="2" a="1"/>
  <c r="BE13" i="2" s="1"/>
  <c r="VF13" i="2" a="1"/>
  <c r="VF13" i="2" s="1"/>
  <c r="ACF13" i="2" a="1"/>
  <c r="ACF13" i="2" s="1"/>
  <c r="WJ13" i="2" a="1"/>
  <c r="WJ13" i="2" s="1"/>
  <c r="GW13" i="2" a="1"/>
  <c r="GW13" i="2" s="1"/>
  <c r="AAZ13" i="2" a="1"/>
  <c r="AAZ13" i="2" s="1"/>
  <c r="YM13" i="2" a="1"/>
  <c r="YM13" i="2" s="1"/>
  <c r="JU13" i="2" a="1"/>
  <c r="JU13" i="2" s="1"/>
  <c r="OC13" i="2" a="1"/>
  <c r="OC13" i="2" s="1"/>
  <c r="KQ13" i="2" a="1"/>
  <c r="KQ13" i="2" s="1"/>
  <c r="ABR13" i="2" a="1"/>
  <c r="ABR13" i="2" s="1"/>
  <c r="SG13" i="2" a="1"/>
  <c r="SG13" i="2" s="1"/>
  <c r="TI13" i="2" a="1"/>
  <c r="TI13" i="2" s="1"/>
  <c r="HC13" i="2" a="1"/>
  <c r="HC13" i="2" s="1"/>
  <c r="WL13" i="2" a="1"/>
  <c r="WL13" i="2" s="1"/>
  <c r="CR13" i="2" a="1"/>
  <c r="CR13" i="2" s="1"/>
  <c r="BV13" i="2" a="1"/>
  <c r="BV13" i="2" s="1"/>
  <c r="QZ13" i="2" a="1"/>
  <c r="QZ13" i="2" s="1"/>
  <c r="MG13" i="2" a="1"/>
  <c r="MG13" i="2" s="1"/>
  <c r="ACD13" i="2" a="1"/>
  <c r="ACD13" i="2" s="1"/>
  <c r="OS13" i="2" a="1"/>
  <c r="OS13" i="2" s="1"/>
  <c r="IY13" i="2" a="1"/>
  <c r="IY13" i="2" s="1"/>
  <c r="CA13" i="2" a="1"/>
  <c r="CA13" i="2" s="1"/>
  <c r="BR13" i="2" a="1"/>
  <c r="BR13" i="2" s="1"/>
  <c r="NS13" i="2" a="1"/>
  <c r="NS13" i="2" s="1"/>
  <c r="CM13" i="2" a="1"/>
  <c r="CM13" i="2" s="1"/>
  <c r="OP13" i="2" a="1"/>
  <c r="OP13" i="2" s="1"/>
  <c r="LQ13" i="2" a="1"/>
  <c r="LQ13" i="2" s="1"/>
  <c r="CC13" i="2" a="1"/>
  <c r="CC13" i="2" s="1"/>
  <c r="HD13" i="2" a="1"/>
  <c r="HD13" i="2" s="1"/>
  <c r="OV13" i="2" a="1"/>
  <c r="OV13" i="2" s="1"/>
  <c r="NO13" i="2" a="1"/>
  <c r="NO13" i="2" s="1"/>
  <c r="WR13" i="2" a="1"/>
  <c r="WR13" i="2" s="1"/>
  <c r="MZ13" i="2" a="1"/>
  <c r="MZ13" i="2" s="1"/>
  <c r="OR13" i="2" a="1"/>
  <c r="OR13" i="2" s="1"/>
  <c r="OI13" i="2" a="1"/>
  <c r="OI13" i="2" s="1"/>
  <c r="VD13" i="2" a="1"/>
  <c r="VD13" i="2" s="1"/>
  <c r="SD13" i="2" a="1"/>
  <c r="SD13" i="2" s="1"/>
  <c r="KF13" i="2" a="1"/>
  <c r="KF13" i="2" s="1"/>
  <c r="JG13" i="2" a="1"/>
  <c r="JG13" i="2" s="1"/>
  <c r="OD13" i="2" a="1"/>
  <c r="OD13" i="2" s="1"/>
  <c r="PF13" i="2" a="1"/>
  <c r="PF13" i="2" s="1"/>
  <c r="XV13" i="2" a="1"/>
  <c r="XV13" i="2" s="1"/>
  <c r="QN13" i="2" a="1"/>
  <c r="QN13" i="2" s="1"/>
  <c r="EL13" i="2" a="1"/>
  <c r="EL13" i="2" s="1"/>
  <c r="LV13" i="2" a="1"/>
  <c r="LV13" i="2" s="1"/>
  <c r="ZY13" i="2" a="1"/>
  <c r="ZY13" i="2" s="1"/>
  <c r="AU13" i="2" a="1"/>
  <c r="AU13" i="2" s="1"/>
  <c r="ZA13" i="2" a="1"/>
  <c r="ZA13" i="2" s="1"/>
  <c r="WK13" i="2" a="1"/>
  <c r="WK13" i="2" s="1"/>
  <c r="RD13" i="2" a="1"/>
  <c r="RD13" i="2" s="1"/>
  <c r="AG13" i="2" a="1"/>
  <c r="AG13" i="2" s="1"/>
  <c r="LS13" i="2" a="1"/>
  <c r="LS13" i="2" s="1"/>
  <c r="FM13" i="2" a="1"/>
  <c r="FM13" i="2" s="1"/>
  <c r="HH13" i="2" a="1"/>
  <c r="HH13" i="2" s="1"/>
  <c r="EP13" i="2" a="1"/>
  <c r="EP13" i="2" s="1"/>
  <c r="MN13" i="2" a="1"/>
  <c r="MN13" i="2" s="1"/>
  <c r="PJ13" i="2" a="1"/>
  <c r="PJ13" i="2" s="1"/>
  <c r="JI13" i="2" a="1"/>
  <c r="JI13" i="2" s="1"/>
  <c r="CG13" i="2" a="1"/>
  <c r="CG13" i="2" s="1"/>
  <c r="TP13" i="2" a="1"/>
  <c r="TP13" i="2" s="1"/>
  <c r="TD13" i="2" a="1"/>
  <c r="TD13" i="2" s="1"/>
  <c r="WF13" i="2" a="1"/>
  <c r="WF13" i="2" s="1"/>
  <c r="ACO13" i="2" a="1"/>
  <c r="ACO13" i="2" s="1"/>
  <c r="KE13" i="2" a="1"/>
  <c r="KE13" i="2" s="1"/>
  <c r="GI13" i="2" a="1"/>
  <c r="GI13" i="2" s="1"/>
  <c r="WT13" i="2" a="1"/>
  <c r="WT13" i="2" s="1"/>
  <c r="WN13" i="2" a="1"/>
  <c r="WN13" i="2" s="1"/>
  <c r="ACB13" i="2" a="1"/>
  <c r="ACB13" i="2" s="1"/>
  <c r="SN13" i="2" a="1"/>
  <c r="SN13" i="2" s="1"/>
  <c r="W13" i="2" a="1"/>
  <c r="LD13" i="2" a="1"/>
  <c r="LD13" i="2" s="1"/>
  <c r="AAW13" i="2" a="1"/>
  <c r="AAW13" i="2" s="1"/>
  <c r="WQ13" i="2" a="1"/>
  <c r="WQ13" i="2" s="1"/>
  <c r="SQ13" i="2" a="1"/>
  <c r="SQ13" i="2" s="1"/>
  <c r="PW13" i="2" a="1"/>
  <c r="PW13" i="2" s="1"/>
  <c r="JO13" i="2" a="1"/>
  <c r="JO13" i="2" s="1"/>
  <c r="WO13" i="2" a="1"/>
  <c r="WO13" i="2" s="1"/>
  <c r="P13" i="2" a="1"/>
  <c r="P13" i="2" s="1"/>
  <c r="ZT13" i="2" a="1"/>
  <c r="ZT13" i="2" s="1"/>
  <c r="VO13" i="2" a="1"/>
  <c r="VO13" i="2" s="1"/>
  <c r="MO13" i="2" a="1"/>
  <c r="MO13" i="2" s="1"/>
  <c r="CP13" i="2" a="1"/>
  <c r="CP13" i="2" s="1"/>
  <c r="MB13" i="2" a="1"/>
  <c r="MB13" i="2" s="1"/>
  <c r="XK13" i="2" a="1"/>
  <c r="XK13" i="2" s="1"/>
  <c r="DA13" i="2" a="1"/>
  <c r="DA13" i="2" s="1"/>
  <c r="OA13" i="2" a="1"/>
  <c r="OA13" i="2" s="1"/>
  <c r="Y13" i="2" a="1"/>
  <c r="ACM13" i="2" a="1"/>
  <c r="ACM13" i="2" s="1"/>
  <c r="WS13" i="2" a="1"/>
  <c r="WS13" i="2" s="1"/>
  <c r="UD13" i="2" a="1"/>
  <c r="UD13" i="2" s="1"/>
  <c r="AS13" i="2" a="1"/>
  <c r="AS13" i="2" s="1"/>
  <c r="AAF13" i="2" a="1"/>
  <c r="AAF13" i="2" s="1"/>
  <c r="KR13" i="2" a="1"/>
  <c r="KR13" i="2" s="1"/>
  <c r="LM13" i="2" a="1"/>
  <c r="LM13" i="2" s="1"/>
  <c r="SZ13" i="2" a="1"/>
  <c r="SZ13" i="2" s="1"/>
  <c r="WC13" i="2" a="1"/>
  <c r="WC13" i="2" s="1"/>
  <c r="EW13" i="2" a="1"/>
  <c r="EW13" i="2" s="1"/>
  <c r="FH13" i="2" a="1"/>
  <c r="FH13" i="2" s="1"/>
  <c r="MA13" i="2" a="1"/>
  <c r="MA13" i="2" s="1"/>
  <c r="YA13" i="2" a="1"/>
  <c r="YA13" i="2" s="1"/>
  <c r="GO13" i="2" a="1"/>
  <c r="GO13" i="2" s="1"/>
  <c r="AAY13" i="2" a="1"/>
  <c r="AAY13" i="2" s="1"/>
  <c r="ACL13" i="2" a="1"/>
  <c r="ACL13" i="2" s="1"/>
  <c r="BM13" i="2" a="1"/>
  <c r="BM13" i="2" s="1"/>
  <c r="RY13" i="2" a="1"/>
  <c r="RY13" i="2" s="1"/>
  <c r="GE13" i="2" a="1"/>
  <c r="GE13" i="2" s="1"/>
  <c r="ACC13" i="2" a="1"/>
  <c r="ACC13" i="2" s="1"/>
  <c r="AQ13" i="2" a="1"/>
  <c r="AQ13" i="2" s="1"/>
  <c r="JV13" i="2" a="1"/>
  <c r="JV13" i="2" s="1"/>
  <c r="QP13" i="2" a="1"/>
  <c r="QP13" i="2" s="1"/>
  <c r="QI13" i="2" a="1"/>
  <c r="QI13" i="2" s="1"/>
  <c r="AAQ13" i="2" a="1"/>
  <c r="AAQ13" i="2" s="1"/>
  <c r="XJ13" i="2" a="1"/>
  <c r="XJ13" i="2" s="1"/>
  <c r="SY13" i="2" a="1"/>
  <c r="SY13" i="2" s="1"/>
  <c r="QT13" i="2" a="1"/>
  <c r="QT13" i="2" s="1"/>
  <c r="NW13" i="2" a="1"/>
  <c r="NW13" i="2" s="1"/>
  <c r="IP13" i="2" a="1"/>
  <c r="IP13" i="2" s="1"/>
  <c r="ACN13" i="2" a="1"/>
  <c r="ACN13" i="2" s="1"/>
  <c r="UW13" i="2" a="1"/>
  <c r="UW13" i="2" s="1"/>
  <c r="IF13" i="2" a="1"/>
  <c r="IF13" i="2" s="1"/>
  <c r="TU13" i="2" a="1"/>
  <c r="TU13" i="2" s="1"/>
  <c r="XO13" i="2" a="1"/>
  <c r="XO13" i="2" s="1"/>
  <c r="XC13" i="2" a="1"/>
  <c r="XC13" i="2" s="1"/>
  <c r="UQ13" i="2" a="1"/>
  <c r="UQ13" i="2" s="1"/>
  <c r="HL13" i="2" a="1"/>
  <c r="HL13" i="2" s="1"/>
  <c r="XM13" i="2" a="1"/>
  <c r="XM13" i="2" s="1"/>
  <c r="ABZ13" i="2" a="1"/>
  <c r="ABZ13" i="2" s="1"/>
  <c r="QD13" i="2" a="1"/>
  <c r="QD13" i="2" s="1"/>
  <c r="DT13" i="2" a="1"/>
  <c r="DT13" i="2" s="1"/>
  <c r="MH13" i="2" a="1"/>
  <c r="MH13" i="2" s="1"/>
  <c r="XW13" i="2" a="1"/>
  <c r="XW13" i="2" s="1"/>
  <c r="YH13" i="2" a="1"/>
  <c r="YH13" i="2" s="1"/>
  <c r="AAN13" i="2" a="1"/>
  <c r="AAN13" i="2" s="1"/>
  <c r="NA13" i="2" a="1"/>
  <c r="NA13" i="2" s="1"/>
  <c r="IX13" i="2" a="1"/>
  <c r="IX13" i="2" s="1"/>
  <c r="RN13" i="2" a="1"/>
  <c r="RN13" i="2" s="1"/>
  <c r="ZQ13" i="2" a="1"/>
  <c r="ZQ13" i="2" s="1"/>
  <c r="SC13" i="2" a="1"/>
  <c r="SC13" i="2" s="1"/>
  <c r="YR13" i="2" a="1"/>
  <c r="YR13" i="2" s="1"/>
  <c r="QA13" i="2" a="1"/>
  <c r="QA13" i="2" s="1"/>
  <c r="GU13" i="2" a="1"/>
  <c r="GU13" i="2" s="1"/>
  <c r="TB13" i="2" a="1"/>
  <c r="TB13" i="2" s="1"/>
  <c r="YB13" i="2" a="1"/>
  <c r="YB13" i="2" s="1"/>
  <c r="UO13" i="2" a="1"/>
  <c r="UO13" i="2" s="1"/>
  <c r="FY13" i="2" a="1"/>
  <c r="FY13" i="2" s="1"/>
  <c r="DG13" i="2" a="1"/>
  <c r="DG13" i="2" s="1"/>
  <c r="UC13" i="2" a="1"/>
  <c r="UC13" i="2" s="1"/>
  <c r="FB13" i="2" a="1"/>
  <c r="FB13" i="2" s="1"/>
  <c r="OZ13" i="2" a="1"/>
  <c r="OZ13" i="2" s="1"/>
  <c r="DR13" i="2" a="1"/>
  <c r="DR13" i="2" s="1"/>
  <c r="HZ13" i="2" a="1"/>
  <c r="HZ13" i="2" s="1"/>
  <c r="LH13" i="2" a="1"/>
  <c r="LH13" i="2" s="1"/>
  <c r="CI13" i="2" a="1"/>
  <c r="CI13" i="2" s="1"/>
  <c r="QF13" i="2" a="1"/>
  <c r="QF13" i="2" s="1"/>
  <c r="YK13" i="2" a="1"/>
  <c r="YK13" i="2" s="1"/>
  <c r="IW13" i="2" a="1"/>
  <c r="IW13" i="2" s="1"/>
  <c r="BZ13" i="2" a="1"/>
  <c r="BZ13" i="2" s="1"/>
  <c r="BI13" i="2" a="1"/>
  <c r="BI13" i="2" s="1"/>
  <c r="RG13" i="2" a="1"/>
  <c r="RG13" i="2" s="1"/>
  <c r="ZO13" i="2" a="1"/>
  <c r="ZO13" i="2" s="1"/>
  <c r="QE13" i="2" a="1"/>
  <c r="QE13" i="2" s="1"/>
  <c r="ABK13" i="2" a="1"/>
  <c r="ABK13" i="2" s="1"/>
  <c r="JH13" i="2" a="1"/>
  <c r="JH13" i="2" s="1"/>
  <c r="MF13" i="2" a="1"/>
  <c r="MF13" i="2" s="1"/>
  <c r="CY13" i="2" a="1"/>
  <c r="CY13" i="2" s="1"/>
  <c r="KO13" i="2" a="1"/>
  <c r="KO13" i="2" s="1"/>
  <c r="ABY13" i="2" a="1"/>
  <c r="ABY13" i="2" s="1"/>
  <c r="CV13" i="2" a="1"/>
  <c r="CV13" i="2" s="1"/>
  <c r="ZU13" i="2" a="1"/>
  <c r="ZU13" i="2" s="1"/>
  <c r="DI13" i="2" a="1"/>
  <c r="DI13" i="2" s="1"/>
  <c r="ABG13" i="2" a="1"/>
  <c r="ABG13" i="2" s="1"/>
  <c r="PZ13" i="2" a="1"/>
  <c r="PZ13" i="2" s="1"/>
  <c r="GB13" i="2" a="1"/>
  <c r="GB13" i="2" s="1"/>
  <c r="VN13" i="2" a="1"/>
  <c r="VN13" i="2" s="1"/>
  <c r="MM13" i="2" a="1"/>
  <c r="MM13" i="2" s="1"/>
  <c r="GK13" i="2" a="1"/>
  <c r="GK13" i="2" s="1"/>
  <c r="FC13" i="2" a="1"/>
  <c r="FC13" i="2" s="1"/>
  <c r="GN13" i="2" a="1"/>
  <c r="GN13" i="2" s="1"/>
  <c r="TG13" i="2" a="1"/>
  <c r="TG13" i="2" s="1"/>
  <c r="XI13" i="2" a="1"/>
  <c r="XI13" i="2" s="1"/>
  <c r="QV13" i="2" a="1"/>
  <c r="QV13" i="2" s="1"/>
  <c r="X13" i="2" a="1"/>
  <c r="FP13" i="2" a="1"/>
  <c r="FP13" i="2" s="1"/>
  <c r="MV13" i="2" a="1"/>
  <c r="MV13" i="2" s="1"/>
  <c r="NC13" i="2" a="1"/>
  <c r="NC13" i="2" s="1"/>
  <c r="AN13" i="2" a="1"/>
  <c r="AN13" i="2" s="1"/>
  <c r="GA13" i="2" a="1"/>
  <c r="GA13" i="2" s="1"/>
  <c r="SX13" i="2" a="1"/>
  <c r="SX13" i="2" s="1"/>
  <c r="ER13" i="2" a="1"/>
  <c r="ER13" i="2" s="1"/>
  <c r="WV13" i="2" a="1"/>
  <c r="WV13" i="2" s="1"/>
  <c r="SM13" i="2" a="1"/>
  <c r="SM13" i="2" s="1"/>
  <c r="WB13" i="2" a="1"/>
  <c r="WB13" i="2" s="1"/>
  <c r="ACW13" i="2" a="1"/>
  <c r="ACW13" i="2" s="1"/>
  <c r="XN13" i="2" a="1"/>
  <c r="XN13" i="2" s="1"/>
  <c r="WX13" i="2" a="1"/>
  <c r="WX13" i="2" s="1"/>
  <c r="YQ13" i="2" a="1"/>
  <c r="YQ13" i="2" s="1"/>
  <c r="UA13" i="2" a="1"/>
  <c r="UA13" i="2" s="1"/>
  <c r="AT13" i="2" a="1"/>
  <c r="AT13" i="2" s="1"/>
  <c r="VR13" i="2" a="1"/>
  <c r="VR13" i="2" s="1"/>
  <c r="ND13" i="2" a="1"/>
  <c r="ND13" i="2" s="1"/>
  <c r="TL13" i="2" a="1"/>
  <c r="TL13" i="2" s="1"/>
  <c r="VS13" i="2" a="1"/>
  <c r="VS13" i="2" s="1"/>
  <c r="NY13" i="2" a="1"/>
  <c r="NY13" i="2" s="1"/>
  <c r="VV13" i="2" a="1"/>
  <c r="VV13" i="2" s="1"/>
  <c r="LR13" i="2" a="1"/>
  <c r="LR13" i="2" s="1"/>
  <c r="GS13" i="2" a="1"/>
  <c r="GS13" i="2" s="1"/>
  <c r="YC13" i="2" a="1"/>
  <c r="YC13" i="2" s="1"/>
  <c r="Z13" i="2" a="1"/>
  <c r="AAR13" i="2" a="1"/>
  <c r="AAR13" i="2" s="1"/>
  <c r="AX13" i="2" a="1"/>
  <c r="AX13" i="2" s="1"/>
  <c r="XD13" i="2" a="1"/>
  <c r="XD13" i="2" s="1"/>
  <c r="ADB13" i="2" a="1"/>
  <c r="ADB13" i="2" s="1"/>
  <c r="SP13" i="2" a="1"/>
  <c r="SP13" i="2" s="1"/>
  <c r="IN13" i="2" a="1"/>
  <c r="IN13" i="2" s="1"/>
  <c r="BF13" i="2" a="1"/>
  <c r="BF13" i="2" s="1"/>
  <c r="HW13" i="2" a="1"/>
  <c r="HW13" i="2" s="1"/>
  <c r="CQ13" i="2" a="1"/>
  <c r="CQ13" i="2" s="1"/>
  <c r="XB13" i="2" a="1"/>
  <c r="XB13" i="2" s="1"/>
  <c r="LK13" i="2" a="1"/>
  <c r="LK13" i="2" s="1"/>
  <c r="AI13" i="2" a="1"/>
  <c r="AI13" i="2" s="1"/>
  <c r="ABW13" i="2" a="1"/>
  <c r="ABW13" i="2" s="1"/>
  <c r="PC13" i="2" a="1"/>
  <c r="PC13" i="2" s="1"/>
  <c r="VI13" i="2" a="1"/>
  <c r="VI13" i="2" s="1"/>
  <c r="OK13" i="2" a="1"/>
  <c r="OK13" i="2" s="1"/>
  <c r="HX13" i="2" a="1"/>
  <c r="HX13" i="2" s="1"/>
  <c r="ACH13" i="2" a="1"/>
  <c r="ACH13" i="2" s="1"/>
  <c r="BX13" i="2" a="1"/>
  <c r="BX13" i="2" s="1"/>
  <c r="YP13" i="2" a="1"/>
  <c r="YP13" i="2" s="1"/>
  <c r="PT13" i="2" a="1"/>
  <c r="PT13" i="2" s="1"/>
  <c r="RJ13" i="2" a="1"/>
  <c r="RJ13" i="2" s="1"/>
  <c r="UZ13" i="2" a="1"/>
  <c r="UZ13" i="2" s="1"/>
  <c r="QM13" i="2" a="1"/>
  <c r="QM13" i="2" s="1"/>
  <c r="HT13" i="2" a="1"/>
  <c r="HT13" i="2" s="1"/>
  <c r="BK13" i="2" a="1"/>
  <c r="BK13" i="2" s="1"/>
  <c r="AAH13" i="2" a="1"/>
  <c r="AAH13" i="2" s="1"/>
  <c r="WE13" i="2" a="1"/>
  <c r="WE13" i="2" s="1"/>
  <c r="YD13" i="2" a="1"/>
  <c r="YD13" i="2" s="1"/>
  <c r="VJ13" i="2" a="1"/>
  <c r="VJ13" i="2" s="1"/>
  <c r="BL13" i="2" a="1"/>
  <c r="BL13" i="2" s="1"/>
  <c r="XU13" i="2" a="1"/>
  <c r="XU13" i="2" s="1"/>
  <c r="FO13" i="2" a="1"/>
  <c r="FO13" i="2" s="1"/>
  <c r="ZL13" i="2" a="1"/>
  <c r="ZL13" i="2" s="1"/>
  <c r="DK13" i="2" a="1"/>
  <c r="DK13" i="2" s="1"/>
  <c r="PI13" i="2" a="1"/>
  <c r="PI13" i="2" s="1"/>
  <c r="OG13" i="2" a="1"/>
  <c r="OG13" i="2" s="1"/>
  <c r="AB13" i="2" a="1"/>
  <c r="AB13" i="2" s="1"/>
  <c r="SR13" i="2" a="1"/>
  <c r="SR13" i="2" s="1"/>
  <c r="GV13" i="2" a="1"/>
  <c r="GV13" i="2" s="1"/>
  <c r="PO13" i="2" a="1"/>
  <c r="PO13" i="2" s="1"/>
  <c r="VX13" i="2" a="1"/>
  <c r="VX13" i="2" s="1"/>
  <c r="EE13" i="2" a="1"/>
  <c r="EE13" i="2" s="1"/>
  <c r="SB13" i="2" a="1"/>
  <c r="SB13" i="2" s="1"/>
  <c r="QJ13" i="2" a="1"/>
  <c r="QJ13" i="2" s="1"/>
  <c r="MT13" i="2" a="1"/>
  <c r="MT13" i="2" s="1"/>
  <c r="FX13" i="2" a="1"/>
  <c r="FX13" i="2" s="1"/>
  <c r="ABN13" i="2" a="1"/>
  <c r="ABN13" i="2" s="1"/>
  <c r="ACA13" i="2" a="1"/>
  <c r="ACA13" i="2" s="1"/>
  <c r="BC13" i="2" a="1"/>
  <c r="BC13" i="2" s="1"/>
  <c r="PV13" i="2" a="1"/>
  <c r="PV13" i="2" s="1"/>
  <c r="TZ13" i="2" a="1"/>
  <c r="TZ13" i="2" s="1"/>
  <c r="ABI13" i="2" a="1"/>
  <c r="ABI13" i="2" s="1"/>
  <c r="HQ13" i="2" a="1"/>
  <c r="HQ13" i="2" s="1"/>
  <c r="DW13" i="2" a="1"/>
  <c r="DW13" i="2" s="1"/>
  <c r="UY13" i="2" a="1"/>
  <c r="UY13" i="2" s="1"/>
  <c r="XG13" i="2" a="1"/>
  <c r="XG13" i="2" s="1"/>
  <c r="BA13" i="2" a="1"/>
  <c r="BA13" i="2" s="1"/>
  <c r="LZ13" i="2" a="1"/>
  <c r="LZ13" i="2" s="1"/>
  <c r="SW13" i="2" a="1"/>
  <c r="SW13" i="2" s="1"/>
  <c r="DX13" i="2" a="1"/>
  <c r="DX13" i="2" s="1"/>
  <c r="AV13" i="2" a="1"/>
  <c r="AV13" i="2" s="1"/>
  <c r="EU13" i="2" a="1"/>
  <c r="EU13" i="2" s="1"/>
  <c r="EB13" i="2" a="1"/>
  <c r="EB13" i="2" s="1"/>
  <c r="ACS13" i="2" a="1"/>
  <c r="ACS13" i="2" s="1"/>
  <c r="ABU13" i="2" a="1"/>
  <c r="ABU13" i="2" s="1"/>
  <c r="YG13" i="2" a="1"/>
  <c r="YG13" i="2" s="1"/>
  <c r="ACX13" i="2" a="1"/>
  <c r="ACX13" i="2" s="1"/>
  <c r="RL13" i="2" a="1"/>
  <c r="RL13" i="2" s="1"/>
  <c r="U13" i="2" a="1"/>
  <c r="U13" i="2" s="1"/>
  <c r="UN13" i="2" a="1"/>
  <c r="UN13" i="2" s="1"/>
  <c r="NT13" i="2" a="1"/>
  <c r="NT13" i="2" s="1"/>
  <c r="MQ13" i="2" a="1"/>
  <c r="MQ13" i="2" s="1"/>
  <c r="HP13" i="2" a="1"/>
  <c r="HP13" i="2" s="1"/>
  <c r="HU13" i="2" a="1"/>
  <c r="HU13" i="2" s="1"/>
  <c r="XA13" i="2" a="1"/>
  <c r="XA13" i="2" s="1"/>
  <c r="IE13" i="2" a="1"/>
  <c r="IE13" i="2" s="1"/>
  <c r="ZW13" i="2" a="1"/>
  <c r="ZW13" i="2" s="1"/>
  <c r="RH13" i="2" a="1"/>
  <c r="RH13" i="2" s="1"/>
  <c r="UM13" i="2" a="1"/>
  <c r="UM13" i="2" s="1"/>
  <c r="NX13" i="2" a="1"/>
  <c r="NX13" i="2" s="1"/>
  <c r="OT13" i="2" a="1"/>
  <c r="OT13" i="2" s="1"/>
  <c r="VU13" i="2" a="1"/>
  <c r="VU13" i="2" s="1"/>
  <c r="YS13" i="2" a="1"/>
  <c r="YS13" i="2" s="1"/>
  <c r="LF13" i="2" a="1"/>
  <c r="LF13" i="2" s="1"/>
  <c r="MW13" i="2" a="1"/>
  <c r="MW13" i="2" s="1"/>
  <c r="JK13" i="2" a="1"/>
  <c r="JK13" i="2" s="1"/>
  <c r="RA13" i="2" a="1"/>
  <c r="RA13" i="2" s="1"/>
  <c r="ACY13" i="2" a="1"/>
  <c r="ACY13" i="2" s="1"/>
  <c r="VH13" i="2" a="1"/>
  <c r="VH13" i="2" s="1"/>
  <c r="FL13" i="2" a="1"/>
  <c r="FL13" i="2" s="1"/>
  <c r="AE13" i="2" a="1"/>
  <c r="AE13" i="2" s="1"/>
  <c r="FV13" i="2" a="1"/>
  <c r="FV13" i="2" s="1"/>
  <c r="UK13" i="2" a="1"/>
  <c r="UK13" i="2" s="1"/>
  <c r="GP13" i="2" a="1"/>
  <c r="GP13" i="2" s="1"/>
  <c r="BP13" i="2" a="1"/>
  <c r="BP13" i="2" s="1"/>
  <c r="PR13" i="2" a="1"/>
  <c r="PR13" i="2" s="1"/>
  <c r="HY13" i="2" a="1"/>
  <c r="HY13" i="2" s="1"/>
  <c r="LY13" i="2" a="1"/>
  <c r="LY13" i="2" s="1"/>
  <c r="JB13" i="2" a="1"/>
  <c r="JB13" i="2" s="1"/>
  <c r="KA13" i="2" a="1"/>
  <c r="KA13" i="2" s="1"/>
  <c r="PK13" i="2" a="1"/>
  <c r="PK13" i="2" s="1"/>
  <c r="AAD13" i="2" a="1"/>
  <c r="AAD13" i="2" s="1"/>
  <c r="ZN13" i="2" a="1"/>
  <c r="ZN13" i="2" s="1"/>
  <c r="PM13" i="2" a="1"/>
  <c r="PM13" i="2" s="1"/>
  <c r="ML13" i="2" a="1"/>
  <c r="ML13" i="2" s="1"/>
  <c r="ZC13" i="2" a="1"/>
  <c r="ZC13" i="2" s="1"/>
  <c r="JE13" i="2" a="1"/>
  <c r="JE13" i="2" s="1"/>
  <c r="ADC13" i="2" a="1"/>
  <c r="ADC13" i="2" s="1"/>
  <c r="NL13" i="2" a="1"/>
  <c r="NL13" i="2" s="1"/>
  <c r="ZB13" i="2" a="1"/>
  <c r="ZB13" i="2" s="1"/>
  <c r="MR13" i="2" a="1"/>
  <c r="MR13" i="2" s="1"/>
  <c r="AAT13" i="2" a="1"/>
  <c r="AAT13" i="2" s="1"/>
  <c r="NR13" i="2" a="1"/>
  <c r="NR13" i="2" s="1"/>
  <c r="VZ13" i="2" a="1"/>
  <c r="VZ13" i="2" s="1"/>
  <c r="ACU13" i="2" a="1"/>
  <c r="ACU13" i="2" s="1"/>
  <c r="JR13" i="2" a="1"/>
  <c r="JR13" i="2" s="1"/>
  <c r="AAP13" i="2" a="1"/>
  <c r="AAP13" i="2" s="1"/>
  <c r="NF13" i="2" a="1"/>
  <c r="NF13" i="2" s="1"/>
  <c r="L13" i="2" a="1"/>
  <c r="L13" i="2" s="1"/>
  <c r="RX13" i="2" a="1"/>
  <c r="RX13" i="2" s="1"/>
  <c r="DL13" i="2" a="1"/>
  <c r="DL13" i="2" s="1"/>
  <c r="NK13" i="2" a="1"/>
  <c r="NK13" i="2" s="1"/>
  <c r="AAI13" i="2" a="1"/>
  <c r="AAI13" i="2" s="1"/>
  <c r="ABM13" i="2" a="1"/>
  <c r="ABM13" i="2" s="1"/>
  <c r="YX13" i="2" a="1"/>
  <c r="YX13" i="2" s="1"/>
  <c r="AW13" i="2" a="1"/>
  <c r="AW13" i="2" s="1"/>
  <c r="GT13" i="2" a="1"/>
  <c r="GT13" i="2" s="1"/>
  <c r="UH13" i="2" a="1"/>
  <c r="UH13" i="2" s="1"/>
  <c r="IU13" i="2" a="1"/>
  <c r="IU13" i="2" s="1"/>
  <c r="AAS13" i="2" a="1"/>
  <c r="AAS13" i="2" s="1"/>
  <c r="JJ13" i="2" a="1"/>
  <c r="JJ13" i="2" s="1"/>
  <c r="YI13" i="2" a="1"/>
  <c r="YI13" i="2" s="1"/>
  <c r="O13" i="2" a="1"/>
  <c r="O13" i="2" s="1"/>
  <c r="DC13" i="2" a="1"/>
  <c r="DC13" i="2" s="1"/>
  <c r="ZF13" i="2" a="1"/>
  <c r="ZF13" i="2" s="1"/>
  <c r="SL13" i="2" a="1"/>
  <c r="SL13" i="2" s="1"/>
  <c r="OB13" i="2" a="1"/>
  <c r="OB13" i="2" s="1"/>
  <c r="ZJ13" i="2" a="1"/>
  <c r="ZJ13" i="2" s="1"/>
  <c r="RF13" i="2" a="1"/>
  <c r="RF13" i="2" s="1"/>
  <c r="YV13" i="2" a="1"/>
  <c r="YV13" i="2" s="1"/>
  <c r="RV13" i="2" a="1"/>
  <c r="RV13" i="2" s="1"/>
  <c r="AK13" i="2" a="1"/>
  <c r="AK13" i="2" s="1"/>
  <c r="CW13" i="2" a="1"/>
  <c r="CW13" i="2" s="1"/>
  <c r="KU13" i="2" a="1"/>
  <c r="KU13" i="2" s="1"/>
  <c r="BN13" i="2" a="1"/>
  <c r="BN13" i="2" s="1"/>
  <c r="MC13" i="2" a="1"/>
  <c r="MC13" i="2" s="1"/>
  <c r="KD13" i="2" a="1"/>
  <c r="KD13" i="2" s="1"/>
  <c r="GQ13" i="2" a="1"/>
  <c r="GQ13" i="2" s="1"/>
  <c r="OY13" i="2" a="1"/>
  <c r="OY13" i="2" s="1"/>
  <c r="DQ13" i="2" a="1"/>
  <c r="DQ13" i="2" s="1"/>
  <c r="XR13" i="2" a="1"/>
  <c r="XR13" i="2" s="1"/>
  <c r="ABO13" i="2" a="1"/>
  <c r="ABO13" i="2" s="1"/>
  <c r="IS13" i="2" a="1"/>
  <c r="IS13" i="2" s="1"/>
  <c r="VB13" i="2" a="1"/>
  <c r="VB13" i="2" s="1"/>
  <c r="VP13" i="2" a="1"/>
  <c r="VP13" i="2" s="1"/>
  <c r="KW13" i="2" a="1"/>
  <c r="KW13" i="2" s="1"/>
  <c r="VA13" i="2" a="1"/>
  <c r="VA13" i="2" s="1"/>
  <c r="FU13" i="2" a="1"/>
  <c r="FU13" i="2" s="1"/>
  <c r="SH13" i="2" a="1"/>
  <c r="SH13" i="2" s="1"/>
  <c r="AAK13" i="2" a="1"/>
  <c r="AAK13" i="2" s="1"/>
  <c r="ZP13" i="2" a="1"/>
  <c r="ZP13" i="2" s="1"/>
  <c r="EK13" i="2" a="1"/>
  <c r="EK13" i="2" s="1"/>
  <c r="XS13" i="2" a="1"/>
  <c r="XS13" i="2" s="1"/>
  <c r="KZ13" i="2" a="1"/>
  <c r="KZ13" i="2" s="1"/>
  <c r="UR13" i="2" a="1"/>
  <c r="UR13" i="2" s="1"/>
  <c r="QQ13" i="2" a="1"/>
  <c r="QQ13" i="2" s="1"/>
  <c r="HG13" i="2" a="1"/>
  <c r="HG13" i="2" s="1"/>
  <c r="ACJ13" i="2" a="1"/>
  <c r="ACJ13" i="2" s="1"/>
  <c r="ACQ13" i="2" a="1"/>
  <c r="ACQ13" i="2" s="1"/>
  <c r="NH13" i="2" a="1"/>
  <c r="NH13" i="2" s="1"/>
  <c r="KJ13" i="2" a="1"/>
  <c r="KJ13" i="2" s="1"/>
  <c r="NU13" i="2" a="1"/>
  <c r="NU13" i="2" s="1"/>
  <c r="DB13" i="2" a="1"/>
  <c r="DB13" i="2" s="1"/>
  <c r="VL13" i="2" a="1"/>
  <c r="VL13" i="2" s="1"/>
  <c r="IA13" i="2" a="1"/>
  <c r="IA13" i="2" s="1"/>
  <c r="JA13" i="2" a="1"/>
  <c r="JA13" i="2" s="1"/>
  <c r="WD13" i="2" a="1"/>
  <c r="WD13" i="2" s="1"/>
  <c r="YJ13" i="2" a="1"/>
  <c r="YJ13" i="2" s="1"/>
  <c r="SI13" i="2" a="1"/>
  <c r="SI13" i="2" s="1"/>
  <c r="FA13" i="2" a="1"/>
  <c r="FA13" i="2" s="1"/>
  <c r="JL13" i="2" a="1"/>
  <c r="JL13" i="2" s="1"/>
  <c r="SV13" i="2" a="1"/>
  <c r="SV13" i="2" s="1"/>
  <c r="NQ13" i="2" a="1"/>
  <c r="NQ13" i="2" s="1"/>
  <c r="KN13" i="2" a="1"/>
  <c r="KN13" i="2" s="1"/>
  <c r="OL13" i="2" a="1"/>
  <c r="OL13" i="2" s="1"/>
  <c r="MU13" i="2" a="1"/>
  <c r="MU13" i="2" s="1"/>
  <c r="QW13" i="2" a="1"/>
  <c r="QW13" i="2" s="1"/>
  <c r="CZ13" i="2" a="1"/>
  <c r="CZ13" i="2" s="1"/>
  <c r="LI13" i="2" a="1"/>
  <c r="LI13" i="2" s="1"/>
  <c r="EV13" i="2" a="1"/>
  <c r="EV13" i="2" s="1"/>
  <c r="KP13" i="2" a="1"/>
  <c r="KP13" i="2" s="1"/>
  <c r="GG13" i="2" a="1"/>
  <c r="GG13" i="2" s="1"/>
  <c r="YW13" i="2" a="1"/>
  <c r="YW13" i="2" s="1"/>
  <c r="ABB13" i="2" a="1"/>
  <c r="ABB13" i="2" s="1"/>
  <c r="ED13" i="2" a="1"/>
  <c r="ED13" i="2" s="1"/>
  <c r="EJ13" i="2" a="1"/>
  <c r="EJ13" i="2" s="1"/>
  <c r="TF13" i="2" a="1"/>
  <c r="TF13" i="2" s="1"/>
  <c r="TO13" i="2" a="1"/>
  <c r="TO13" i="2" s="1"/>
  <c r="KX13" i="2" a="1"/>
  <c r="KX13" i="2" s="1"/>
  <c r="AH13" i="2" a="1"/>
  <c r="AH13" i="2" s="1"/>
  <c r="ZV13" i="2" a="1"/>
  <c r="ZV13" i="2" s="1"/>
  <c r="UL13" i="2" a="1"/>
  <c r="UL13" i="2" s="1"/>
  <c r="FE13" i="2" a="1"/>
  <c r="FE13" i="2" s="1"/>
  <c r="LA13" i="2" a="1"/>
  <c r="LA13" i="2" s="1"/>
  <c r="OQ13" i="2" a="1"/>
  <c r="OQ13" i="2" s="1"/>
  <c r="CK13" i="2" a="1"/>
  <c r="CK13" i="2" s="1"/>
  <c r="UU13" i="2" a="1"/>
  <c r="UU13" i="2" s="1"/>
  <c r="ST13" i="2" a="1"/>
  <c r="ST13" i="2" s="1"/>
  <c r="TQ13" i="2" a="1"/>
  <c r="TQ13" i="2" s="1"/>
  <c r="AAA13" i="2" a="1"/>
  <c r="AAA13" i="2" s="1"/>
  <c r="AAL13" i="2" a="1"/>
  <c r="AAL13" i="2" s="1"/>
  <c r="KB13" i="2" a="1"/>
  <c r="KB13" i="2" s="1"/>
  <c r="AP13" i="2" a="1"/>
  <c r="AP13" i="2" s="1"/>
  <c r="GF13" i="2" a="1"/>
  <c r="GF13" i="2" s="1"/>
  <c r="DP13" i="2" a="1"/>
  <c r="DP13" i="2" s="1"/>
  <c r="YT13" i="2" a="1"/>
  <c r="YT13" i="2" s="1"/>
  <c r="AJ13" i="2" a="1"/>
  <c r="AJ13" i="2" s="1"/>
  <c r="LO13" i="2" a="1"/>
  <c r="LO13" i="2" s="1"/>
  <c r="IB13" i="2" a="1"/>
  <c r="IB13" i="2" s="1"/>
  <c r="HV13" i="2" a="1"/>
  <c r="HV13" i="2" s="1"/>
  <c r="OW13" i="2" a="1"/>
  <c r="OW13" i="2" s="1"/>
  <c r="ABJ13" i="2" a="1"/>
  <c r="ABJ13" i="2" s="1"/>
  <c r="PE13" i="2" a="1"/>
  <c r="PE13" i="2" s="1"/>
  <c r="KY13" i="2" a="1"/>
  <c r="KY13" i="2" s="1"/>
  <c r="DM13" i="2" a="1"/>
  <c r="DM13" i="2" s="1"/>
  <c r="IQ13" i="2" a="1"/>
  <c r="IQ13" i="2" s="1"/>
  <c r="AC13" i="2" a="1"/>
  <c r="AC13" i="2" s="1"/>
  <c r="DH13" i="2" a="1"/>
  <c r="DH13" i="2" s="1"/>
  <c r="ACV13" i="2" a="1"/>
  <c r="ACV13" i="2" s="1"/>
  <c r="ZZ13" i="2" a="1"/>
  <c r="ZZ13" i="2" s="1"/>
  <c r="QC13" i="2" a="1"/>
  <c r="QC13" i="2" s="1"/>
  <c r="CD13" i="2" a="1"/>
  <c r="CD13" i="2" s="1"/>
  <c r="DD13" i="2" a="1"/>
  <c r="DD13" i="2" s="1"/>
  <c r="LC13" i="2" a="1"/>
  <c r="LC13" i="2" s="1"/>
  <c r="FT13" i="2" a="1"/>
  <c r="FT13" i="2" s="1"/>
  <c r="OE13" i="2" a="1"/>
  <c r="OE13" i="2" s="1"/>
  <c r="JP13" i="2" a="1"/>
  <c r="JP13" i="2" s="1"/>
  <c r="ABQ13" i="2" a="1"/>
  <c r="ABQ13" i="2" s="1"/>
  <c r="QX13" i="2" a="1"/>
  <c r="QX13" i="2" s="1"/>
  <c r="PB13" i="2" a="1"/>
  <c r="PB13" i="2" s="1"/>
  <c r="JN13" i="2" a="1"/>
  <c r="JN13" i="2" s="1"/>
  <c r="NV13" i="2" a="1"/>
  <c r="NV13" i="2" s="1"/>
  <c r="ABX13" i="2" a="1"/>
  <c r="ABX13" i="2" s="1"/>
  <c r="QS13" i="2" a="1"/>
  <c r="QS13" i="2" s="1"/>
  <c r="VE13" i="2" a="1"/>
  <c r="VE13" i="2" s="1"/>
  <c r="LL13" i="2" a="1"/>
  <c r="LL13" i="2" s="1"/>
  <c r="ABH13" i="2" a="1"/>
  <c r="ABH13" i="2" s="1"/>
  <c r="UG13" i="2" a="1"/>
  <c r="UG13" i="2" s="1"/>
  <c r="MJ13" i="2" a="1"/>
  <c r="MJ13" i="2" s="1"/>
  <c r="TE13" i="2" a="1"/>
  <c r="TE13" i="2" s="1"/>
  <c r="HF13" i="2" a="1"/>
  <c r="HF13" i="2" s="1"/>
  <c r="AAB13" i="2" a="1"/>
  <c r="AAB13" i="2" s="1"/>
  <c r="CX13" i="2" a="1"/>
  <c r="CX13" i="2" s="1"/>
  <c r="QG13" i="2" a="1"/>
  <c r="QG13" i="2" s="1"/>
  <c r="ABC13" i="2" a="1"/>
  <c r="ABC13" i="2" s="1"/>
  <c r="TX13" i="2" a="1"/>
  <c r="TX13" i="2" s="1"/>
  <c r="PX13" i="2" a="1"/>
  <c r="PX13" i="2" s="1"/>
  <c r="ADD13" i="2" a="1"/>
  <c r="ADD13" i="2" s="1"/>
  <c r="LT13" i="2" a="1"/>
  <c r="LT13" i="2" s="1"/>
  <c r="CH13" i="2" a="1"/>
  <c r="CH13" i="2" s="1"/>
  <c r="DV13" i="2" a="1"/>
  <c r="DV13" i="2" s="1"/>
  <c r="UF13" i="2" a="1"/>
  <c r="UF13" i="2" s="1"/>
  <c r="FF13" i="2" a="1"/>
  <c r="FF13" i="2" s="1"/>
  <c r="SS13" i="2" a="1"/>
  <c r="SS13" i="2" s="1"/>
  <c r="ES13" i="2" a="1"/>
  <c r="ES13" i="2" s="1"/>
  <c r="ADA13" i="2" a="1"/>
  <c r="ADA13" i="2" s="1"/>
  <c r="US13" i="2" a="1"/>
  <c r="US13" i="2" s="1"/>
  <c r="SJ13" i="2" a="1"/>
  <c r="SJ13" i="2" s="1"/>
  <c r="IJ13" i="2" a="1"/>
  <c r="IJ13" i="2" s="1"/>
  <c r="WZ13" i="2" a="1"/>
  <c r="WZ13" i="2" s="1"/>
  <c r="ZD13" i="2" a="1"/>
  <c r="ZD13" i="2" s="1"/>
  <c r="OJ13" i="2" a="1"/>
  <c r="OJ13" i="2" s="1"/>
  <c r="RC13" i="2" a="1"/>
  <c r="RC13" i="2" s="1"/>
  <c r="TM13" i="2" a="1"/>
  <c r="TM13" i="2" s="1"/>
  <c r="OO13" i="2" a="1"/>
  <c r="OO13" i="2" s="1"/>
  <c r="AF13" i="2" a="1"/>
  <c r="AF13" i="2" s="1"/>
  <c r="GJ13" i="2" a="1"/>
  <c r="GJ13" i="2" s="1"/>
  <c r="RS13" i="2" a="1"/>
  <c r="RS13" i="2" s="1"/>
  <c r="KS13" i="2" a="1"/>
  <c r="KS13" i="2" s="1"/>
  <c r="KG13" i="2" a="1"/>
  <c r="KG13" i="2" s="1"/>
  <c r="WW13" i="2" a="1"/>
  <c r="WW13" i="2" s="1"/>
  <c r="AL13" i="2" a="1"/>
  <c r="AL13" i="2" s="1"/>
  <c r="ACE13" i="2" a="1"/>
  <c r="ACE13" i="2" s="1"/>
  <c r="UB13" i="2" a="1"/>
  <c r="UB13" i="2" s="1"/>
  <c r="CL13" i="2" a="1"/>
  <c r="CL13" i="2" s="1"/>
  <c r="AAX13" i="2" a="1"/>
  <c r="AAX13" i="2" s="1"/>
  <c r="EG13" i="2" a="1"/>
  <c r="EG13" i="2" s="1"/>
  <c r="LU13" i="2" a="1"/>
  <c r="LU13" i="2" s="1"/>
  <c r="CJ13" i="2" a="1"/>
  <c r="CJ13" i="2" s="1"/>
  <c r="M13" i="2" a="1"/>
  <c r="M13" i="2" s="1"/>
  <c r="YN13" i="2" a="1"/>
  <c r="YN13" i="2" s="1"/>
  <c r="DS13" i="2" a="1"/>
  <c r="DS13" i="2" s="1"/>
  <c r="TC13" i="2" a="1"/>
  <c r="TC13" i="2" s="1"/>
  <c r="UJ13" i="2" a="1"/>
  <c r="UJ13" i="2" s="1"/>
  <c r="RB13" i="2" a="1"/>
  <c r="RB13" i="2" s="1"/>
  <c r="GC13" i="2" a="1"/>
  <c r="GC13" i="2" s="1"/>
  <c r="ABV13" i="2" a="1"/>
  <c r="ABV13" i="2" s="1"/>
  <c r="LX13" i="2" a="1"/>
  <c r="LX13" i="2" s="1"/>
  <c r="CF13" i="2" a="1"/>
  <c r="CF13" i="2" s="1"/>
  <c r="HE13" i="2" a="1"/>
  <c r="HE13" i="2" s="1"/>
  <c r="RM13" i="2" a="1"/>
  <c r="RM13" i="2" s="1"/>
  <c r="ACG13" i="2" a="1"/>
  <c r="ACG13" i="2" s="1"/>
  <c r="XF13" i="2" a="1"/>
  <c r="XF13" i="2" s="1"/>
  <c r="TS13" i="2" a="1"/>
  <c r="TS13" i="2" s="1"/>
  <c r="RI13" i="2" a="1"/>
  <c r="RI13" i="2" s="1"/>
  <c r="FZ13" i="2" a="1"/>
  <c r="FZ13" i="2" s="1"/>
  <c r="ET13" i="2" a="1"/>
  <c r="ET13" i="2" s="1"/>
  <c r="GZ13" i="2" a="1"/>
  <c r="GZ13" i="2" s="1"/>
  <c r="UI13" i="2" a="1"/>
  <c r="UI13" i="2" s="1"/>
  <c r="PP13" i="2" a="1"/>
  <c r="PP13" i="2" s="1"/>
  <c r="EY13" i="2" a="1"/>
  <c r="EY13" i="2" s="1"/>
  <c r="HJ13" i="2" a="1"/>
  <c r="HJ13" i="2" s="1"/>
  <c r="MI13" i="2" a="1"/>
  <c r="MI13" i="2" s="1"/>
  <c r="HS13" i="2" a="1"/>
  <c r="HS13" i="2" s="1"/>
  <c r="FQ13" i="2" a="1"/>
  <c r="FQ13" i="2" s="1"/>
  <c r="UT13" i="2" a="1"/>
  <c r="UT13" i="2" s="1"/>
  <c r="VY13" i="2" a="1"/>
  <c r="VY13" i="2" s="1"/>
  <c r="RU13" i="2" a="1"/>
  <c r="RU13" i="2" s="1"/>
  <c r="AAV13" i="2" a="1"/>
  <c r="AAV13" i="2" s="1"/>
  <c r="S13" i="2" a="1"/>
  <c r="S13" i="2" s="1"/>
  <c r="KM13" i="2" a="1"/>
  <c r="KM13" i="2" s="1"/>
  <c r="RK13" i="2" a="1"/>
  <c r="RK13" i="2" s="1"/>
  <c r="QU13" i="2" a="1"/>
  <c r="QU13" i="2" s="1"/>
  <c r="HO13" i="2" a="1"/>
  <c r="HO13" i="2" s="1"/>
  <c r="IC13" i="2" a="1"/>
  <c r="IC13" i="2" s="1"/>
  <c r="LG13" i="2" a="1"/>
  <c r="LG13" i="2" s="1"/>
  <c r="NM13" i="2" a="1"/>
  <c r="NM13" i="2" s="1"/>
  <c r="OF13" i="2" a="1"/>
  <c r="OF13" i="2" s="1"/>
  <c r="QL13" i="2" a="1"/>
  <c r="QL13" i="2" s="1"/>
  <c r="PQ13" i="2" a="1"/>
  <c r="PQ13" i="2" s="1"/>
  <c r="QH13" i="2" a="1"/>
  <c r="QH13" i="2" s="1"/>
  <c r="ZK13" i="2" a="1"/>
  <c r="ZK13" i="2" s="1"/>
  <c r="JM13" i="2" a="1"/>
  <c r="JM13" i="2" s="1"/>
  <c r="VQ13" i="2" a="1"/>
  <c r="VQ13" i="2" s="1"/>
  <c r="KL13" i="2" a="1"/>
  <c r="KL13" i="2" s="1"/>
  <c r="ABA13" i="2" a="1"/>
  <c r="ABA13" i="2" s="1"/>
  <c r="HR13" i="2" a="1"/>
  <c r="HR13" i="2" s="1"/>
  <c r="PD13" i="2" a="1"/>
  <c r="PD13" i="2" s="1"/>
  <c r="ME13" i="2" a="1"/>
  <c r="ME13" i="2" s="1"/>
  <c r="AAJ13" i="2" a="1"/>
  <c r="AAJ13" i="2" s="1"/>
  <c r="JY13" i="2" a="1"/>
  <c r="JY13" i="2" s="1"/>
  <c r="TY13" i="2" a="1"/>
  <c r="TY13" i="2" s="1"/>
  <c r="UV13" i="2" a="1"/>
  <c r="UV13" i="2" s="1"/>
  <c r="MK13" i="2" a="1"/>
  <c r="MK13" i="2" s="1"/>
  <c r="UP13" i="2" a="1"/>
  <c r="UP13" i="2" s="1"/>
  <c r="PU13" i="2" a="1"/>
  <c r="PU13" i="2" s="1"/>
  <c r="ZE13" i="2" a="1"/>
  <c r="ZE13" i="2" s="1"/>
  <c r="ACP13" i="2" a="1"/>
  <c r="ACP13" i="2" s="1"/>
  <c r="PL13" i="2" a="1"/>
  <c r="PL13" i="2" s="1"/>
  <c r="DY13" i="2" a="1"/>
  <c r="DY13" i="2" s="1"/>
  <c r="CE13" i="2" a="1"/>
  <c r="CE13" i="2" s="1"/>
  <c r="CS13" i="2" a="1"/>
  <c r="CS13" i="2" s="1"/>
  <c r="UE13" i="2" a="1"/>
  <c r="UE13" i="2" s="1"/>
  <c r="ACT13" i="2" a="1"/>
  <c r="ACT13" i="2" s="1"/>
  <c r="CO13" i="2" a="1"/>
  <c r="CO13" i="2" s="1"/>
  <c r="GD13" i="2" a="1"/>
  <c r="GD13" i="2" s="1"/>
  <c r="TN13" i="2" a="1"/>
  <c r="TN13" i="2" s="1"/>
  <c r="KV13" i="2" a="1"/>
  <c r="KV13" i="2" s="1"/>
  <c r="GH13" i="2" a="1"/>
  <c r="GH13" i="2" s="1"/>
  <c r="UX13" i="2" a="1"/>
  <c r="UX13" i="2" s="1"/>
  <c r="BT13" i="2" a="1"/>
  <c r="BT13" i="2" s="1"/>
  <c r="PG13" i="2" a="1"/>
  <c r="PG13" i="2" s="1"/>
  <c r="HM13" i="2" a="1"/>
  <c r="HM13" i="2" s="1"/>
  <c r="AO13" i="2" a="1"/>
  <c r="AO13" i="2" s="1"/>
  <c r="WP13" i="2" a="1"/>
  <c r="WP13" i="2" s="1"/>
  <c r="WI13" i="2" a="1"/>
  <c r="WI13" i="2" s="1"/>
  <c r="YY13" i="2" a="1"/>
  <c r="YY13" i="2" s="1"/>
  <c r="VM13" i="2" a="1"/>
  <c r="VM13" i="2" s="1"/>
  <c r="MY13" i="2" a="1"/>
  <c r="MY13" i="2" s="1"/>
  <c r="EN13" i="2" a="1"/>
  <c r="EN13" i="2" s="1"/>
  <c r="CU13" i="2" a="1"/>
  <c r="CU13" i="2" s="1"/>
  <c r="AR13" i="2" a="1"/>
  <c r="AR13" i="2" s="1"/>
  <c r="IV13" i="2" a="1"/>
  <c r="IV13" i="2" s="1"/>
  <c r="NG13" i="2" a="1"/>
  <c r="NG13" i="2" s="1"/>
  <c r="ON13" i="2" a="1"/>
  <c r="ON13" i="2" s="1"/>
  <c r="GX13" i="2" a="1"/>
  <c r="GX13" i="2" s="1"/>
  <c r="SU13" i="2" a="1"/>
  <c r="SU13" i="2" s="1"/>
  <c r="RW13" i="2" a="1"/>
  <c r="RW13" i="2" s="1"/>
  <c r="PH13" i="2" a="1"/>
  <c r="PH13" i="2" s="1"/>
  <c r="AM13" i="2" a="1"/>
  <c r="AM13" i="2" s="1"/>
  <c r="IT13" i="2" a="1"/>
  <c r="IT13" i="2" s="1"/>
  <c r="AAM13" i="2" a="1"/>
  <c r="AAM13" i="2" s="1"/>
  <c r="XY13" i="2" a="1"/>
  <c r="XY13" i="2" s="1"/>
  <c r="SO13" i="2" a="1"/>
  <c r="SO13" i="2" s="1"/>
  <c r="JX13" i="2" a="1"/>
  <c r="JX13" i="2" s="1"/>
  <c r="BD13" i="2" a="1"/>
  <c r="BD13" i="2" s="1"/>
  <c r="MD13" i="2" a="1"/>
  <c r="MD13" i="2" s="1"/>
  <c r="ABD13" i="2" a="1"/>
  <c r="ABD13" i="2" s="1"/>
  <c r="XQ13" i="2" a="1"/>
  <c r="XQ13" i="2" s="1"/>
  <c r="ABP13" i="2" a="1"/>
  <c r="ABP13" i="2" s="1"/>
  <c r="DF13" i="2" a="1"/>
  <c r="DF13" i="2" s="1"/>
  <c r="ABS13" i="2" a="1"/>
  <c r="ABS13" i="2" s="1"/>
  <c r="ZS13" i="2" a="1"/>
  <c r="ZS13" i="2" s="1"/>
  <c r="PN13" i="2" a="1"/>
  <c r="PN13" i="2" s="1"/>
  <c r="FG13" i="2" a="1"/>
  <c r="FG13" i="2" s="1"/>
  <c r="DU13" i="2" a="1"/>
  <c r="DU13" i="2" s="1"/>
  <c r="BQ13" i="2" a="1"/>
  <c r="BQ13" i="2" s="1"/>
  <c r="ZG13" i="2" a="1"/>
  <c r="ZG13" i="2" s="1"/>
  <c r="FS13" i="2" a="1"/>
  <c r="FS13" i="2" s="1"/>
  <c r="JW13" i="2" a="1"/>
  <c r="JW13" i="2" s="1"/>
  <c r="EZ13" i="2" a="1"/>
  <c r="EZ13" i="2" s="1"/>
  <c r="EO13" i="2" a="1"/>
  <c r="EO13" i="2" s="1"/>
  <c r="RP13" i="2" a="1"/>
  <c r="RP13" i="2" s="1"/>
  <c r="RE13" i="2" a="1"/>
  <c r="RE13" i="2" s="1"/>
  <c r="EF13" i="2" a="1"/>
  <c r="EF13" i="2" s="1"/>
  <c r="HI13" i="2" a="1"/>
  <c r="HI13" i="2" s="1"/>
  <c r="IL13" i="2" a="1"/>
  <c r="IL13" i="2" s="1"/>
  <c r="BW13" i="2" a="1"/>
  <c r="BW13" i="2" s="1"/>
  <c r="H12" i="2"/>
  <c r="H13" i="2" s="1" a="1"/>
  <c r="H13" i="2" s="1"/>
  <c r="BS13" i="2" a="1"/>
  <c r="BS13" i="2" s="1"/>
  <c r="WM13" i="2" a="1"/>
  <c r="WM13" i="2" s="1"/>
  <c r="DO13" i="2" a="1"/>
  <c r="DO13" i="2" s="1"/>
  <c r="LE13" i="2" a="1"/>
  <c r="LE13" i="2" s="1"/>
  <c r="XX13" i="2" a="1"/>
  <c r="XX13" i="2" s="1"/>
  <c r="RT13" i="2" a="1"/>
  <c r="RT13" i="2" s="1"/>
  <c r="JD13" i="2" a="1"/>
  <c r="JD13" i="2" s="1"/>
  <c r="TV13" i="2" a="1"/>
  <c r="TV13" i="2" s="1"/>
  <c r="XP13" i="2" a="1"/>
  <c r="XP13" i="2" s="1"/>
  <c r="FR13" i="2" a="1"/>
  <c r="FR13" i="2" s="1"/>
  <c r="AAU13" i="2" a="1"/>
  <c r="AAU13" i="2" s="1"/>
  <c r="GY13" i="2" a="1"/>
  <c r="GY13" i="2" s="1"/>
  <c r="QR13" i="2" a="1"/>
  <c r="QR13" i="2" s="1"/>
  <c r="NI13" i="2" a="1"/>
  <c r="NI13" i="2" s="1"/>
  <c r="QB13" i="2" a="1"/>
  <c r="QB13" i="2" s="1"/>
  <c r="CN13" i="2" a="1"/>
  <c r="CN13" i="2" s="1"/>
  <c r="JZ13" i="2" a="1"/>
  <c r="JZ13" i="2" s="1"/>
  <c r="JC13" i="2" a="1"/>
  <c r="JC13" i="2" s="1"/>
  <c r="TT13" i="2" a="1"/>
  <c r="TT13" i="2" s="1"/>
  <c r="FW13" i="2" a="1"/>
  <c r="FW13" i="2" s="1"/>
  <c r="ZH13" i="2" a="1"/>
  <c r="ZH13" i="2" s="1"/>
  <c r="WU13" i="2" a="1"/>
  <c r="WU13" i="2" s="1"/>
  <c r="VK13" i="2" a="1"/>
  <c r="VK13" i="2" s="1"/>
  <c r="NP13" i="2" a="1"/>
  <c r="NP13" i="2" s="1"/>
  <c r="AA13" i="2" a="1"/>
  <c r="AA13" i="2" s="1"/>
  <c r="ZR13" i="2" a="1"/>
  <c r="ZR13" i="2" s="1"/>
  <c r="HK13" i="2" a="1"/>
  <c r="HK13" i="2" s="1"/>
  <c r="YL13" i="2" a="1"/>
  <c r="YL13" i="2" s="1"/>
  <c r="EX13" i="2" a="1"/>
  <c r="EX13" i="2" s="1"/>
  <c r="KT13" i="2" a="1"/>
  <c r="KT13" i="2" s="1"/>
  <c r="II13" i="2" a="1"/>
  <c r="II13" i="2" s="1"/>
  <c r="EQ13" i="2" a="1"/>
  <c r="EQ13" i="2" s="1"/>
  <c r="KK13" i="2" a="1"/>
  <c r="KK13" i="2" s="1"/>
  <c r="DJ13" i="2" a="1"/>
  <c r="DJ13" i="2" s="1"/>
  <c r="JS13" i="2" a="1"/>
  <c r="JS13" i="2" s="1"/>
  <c r="GR13" i="2" a="1"/>
  <c r="GR13" i="2" s="1"/>
  <c r="SA13" i="2" a="1"/>
  <c r="SA13" i="2" s="1"/>
  <c r="PS13" i="2" a="1"/>
  <c r="PS13" i="2" s="1"/>
  <c r="EC13" i="2" a="1"/>
  <c r="EC13" i="2" s="1"/>
  <c r="AAE13" i="2" a="1"/>
  <c r="AAE13" i="2" s="1"/>
  <c r="EM13" i="2" a="1"/>
  <c r="EM13" i="2" s="1"/>
  <c r="YE13" i="2" a="1"/>
  <c r="YE13" i="2" s="1"/>
  <c r="OX13" i="2" a="1"/>
  <c r="OX13" i="2" s="1"/>
  <c r="OM13" i="2" a="1"/>
  <c r="OM13" i="2" s="1"/>
  <c r="TR13" i="2" a="1"/>
  <c r="TR13" i="2" s="1"/>
  <c r="BB13" i="2" a="1"/>
  <c r="BB13" i="2" s="1"/>
  <c r="NZ13" i="2" a="1"/>
  <c r="NZ13" i="2" s="1"/>
  <c r="ZI13" i="2" a="1"/>
  <c r="ZI13" i="2" s="1"/>
  <c r="IM13" i="2" a="1"/>
  <c r="IM13" i="2" s="1"/>
  <c r="FI13" i="2" a="1"/>
  <c r="FI13" i="2" s="1"/>
  <c r="TH13" i="2" a="1"/>
  <c r="TH13" i="2" s="1"/>
  <c r="R13" i="2" a="1"/>
  <c r="R13" i="2" s="1"/>
  <c r="MX13" i="2" a="1"/>
  <c r="MX13" i="2" s="1"/>
  <c r="NJ13" i="2" a="1"/>
  <c r="NJ13" i="2" s="1"/>
  <c r="AAC13" i="2" a="1"/>
  <c r="AAC13" i="2" s="1"/>
  <c r="QY13" i="2" a="1"/>
  <c r="QY13" i="2" s="1"/>
  <c r="FD13" i="2" a="1"/>
  <c r="FD13" i="2" s="1"/>
  <c r="ACK13" i="2" a="1"/>
  <c r="ACK13" i="2" s="1"/>
  <c r="BG13" i="2" a="1"/>
  <c r="BG13" i="2" s="1"/>
  <c r="KC13" i="2" a="1"/>
  <c r="KC13" i="2" s="1"/>
  <c r="TJ13" i="2" a="1"/>
  <c r="TJ13" i="2" s="1"/>
  <c r="YZ13" i="2" a="1"/>
  <c r="YZ13" i="2" s="1"/>
  <c r="KI13" i="2" a="1"/>
  <c r="KI13" i="2" s="1"/>
  <c r="BH13" i="2" a="1"/>
  <c r="BH13" i="2" s="1"/>
  <c r="JT13" i="2" a="1"/>
  <c r="JT13" i="2" s="1"/>
  <c r="WG13" i="2" a="1"/>
  <c r="WG13" i="2" s="1"/>
  <c r="LN13" i="2" a="1"/>
  <c r="LN13" i="2" s="1"/>
  <c r="DZ13" i="2" a="1"/>
  <c r="DZ13" i="2" s="1"/>
  <c r="SF13" i="2" a="1"/>
  <c r="SF13" i="2" s="1"/>
  <c r="JF13" i="2" a="1"/>
  <c r="JF13" i="2" s="1"/>
  <c r="ABL13" i="2" a="1"/>
  <c r="ABL13" i="2" s="1"/>
  <c r="TK13" i="2" a="1"/>
  <c r="TK13" i="2" s="1"/>
  <c r="AAG13" i="2" a="1"/>
  <c r="AAG13" i="2" s="1"/>
  <c r="EA13" i="2" a="1"/>
  <c r="EA13" i="2" s="1"/>
  <c r="HA13" i="2" a="1"/>
  <c r="HA13" i="2" s="1"/>
  <c r="ABT13" i="2" a="1"/>
  <c r="ABT13" i="2" s="1"/>
  <c r="NB13" i="2" a="1"/>
  <c r="NB13" i="2" s="1"/>
  <c r="ACR13" i="2" a="1"/>
  <c r="ACR13" i="2" s="1"/>
  <c r="BY13" i="2" a="1"/>
  <c r="BY13" i="2" s="1"/>
  <c r="CT13" i="2" a="1"/>
  <c r="CT13" i="2" s="1"/>
  <c r="VG13" i="2" a="1"/>
  <c r="VG13" i="2" s="1"/>
  <c r="ZM13" i="2" a="1"/>
  <c r="ZM13" i="2" s="1"/>
  <c r="X27" i="3"/>
  <c r="X37" i="3" s="1"/>
  <c r="K42" i="3"/>
  <c r="H42" i="3" s="1"/>
  <c r="V37" i="3"/>
  <c r="K41" i="3"/>
  <c r="R38" i="3"/>
  <c r="D7" i="3"/>
  <c r="Z13" i="2" l="1"/>
  <c r="Z24" i="2" a="1"/>
  <c r="Z24" i="2" s="1"/>
  <c r="Y13" i="2"/>
  <c r="Y24" i="2" a="1"/>
  <c r="Y24" i="2" s="1"/>
  <c r="X13" i="2"/>
  <c r="X24" i="2" a="1"/>
  <c r="X24" i="2" s="1"/>
  <c r="W13" i="2"/>
  <c r="W24" i="2" a="1"/>
  <c r="W24" i="2" s="1"/>
  <c r="H41" i="3"/>
  <c r="K43" i="3"/>
  <c r="N44" i="3" s="1"/>
  <c r="Y37" i="3"/>
  <c r="U38" i="3"/>
  <c r="O22" i="3"/>
  <c r="H44" i="3" l="1"/>
  <c r="H4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2ED0FA-126C-4BB2-B8D9-AE3E152A658E}" keepAlive="1" name="Query - Extra fare price" description="Connection to the 'Extra fare price' query in the workbook." type="5" refreshedVersion="8" background="1" saveData="1">
    <dbPr connection="Provider=Microsoft.Mashup.OleDb.1;Data Source=$Workbook$;Location=&quot;Extra fare price&quot;;Extended Properties=&quot;&quot;" command="SELECT * FROM [Extra fare price]"/>
  </connection>
  <connection id="2" xr16:uid="{E8384EAA-163C-41DD-8F45-76B8CE6FBDF4}" keepAlive="1" name="Query - Price" description="Connection to the 'Price' query in the workbook." type="5" refreshedVersion="8" background="1" saveData="1">
    <dbPr connection="Provider=Microsoft.Mashup.OleDb.1;Data Source=$Workbook$;Location=Price;Extended Properties=&quot;&quot;" command="SELECT * FROM [Pric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<sst xmlns="http://schemas.openxmlformats.org/spreadsheetml/2006/main" count="1852" uniqueCount="935">
  <si>
    <t xml:space="preserve">Destination </t>
  </si>
  <si>
    <t>Hotel Code</t>
  </si>
  <si>
    <t xml:space="preserve">Hotel / Resort Name </t>
  </si>
  <si>
    <t>Room Type</t>
  </si>
  <si>
    <t>Hotecode</t>
  </si>
  <si>
    <t>Hotel Name</t>
  </si>
  <si>
    <t>Travel Itinerary</t>
  </si>
  <si>
    <t xml:space="preserve">Welcome to Ghumo Firoo! </t>
  </si>
  <si>
    <t xml:space="preserve">Please find below details for your trip and feel free to call me at +91-9910987264.
</t>
  </si>
  <si>
    <t>Query Details</t>
  </si>
  <si>
    <t xml:space="preserve">#Booking Code </t>
  </si>
  <si>
    <t>Q/25/979949</t>
  </si>
  <si>
    <t>Total Guests</t>
  </si>
  <si>
    <t>Pick Up City</t>
  </si>
  <si>
    <t>Drop City</t>
  </si>
  <si>
    <t>Destination Covered</t>
  </si>
  <si>
    <t>Occupancy Type</t>
  </si>
  <si>
    <t>Triple</t>
  </si>
  <si>
    <t>Meal Plan</t>
  </si>
  <si>
    <t>Cab Type</t>
  </si>
  <si>
    <t>City</t>
  </si>
  <si>
    <t>Check-In</t>
  </si>
  <si>
    <t>Check-Out</t>
  </si>
  <si>
    <t>Nights</t>
  </si>
  <si>
    <t>Rooms</t>
  </si>
  <si>
    <t>Total Cost</t>
  </si>
  <si>
    <t>INDEX(Sheet1!$B$3:$D$7,0,MATCH(Sheet1!$B$11,Heading,0))</t>
  </si>
  <si>
    <t>Double</t>
  </si>
  <si>
    <t>Total Price</t>
  </si>
  <si>
    <t>Balance</t>
  </si>
  <si>
    <t>Passanger Type</t>
  </si>
  <si>
    <t>Triple EP</t>
  </si>
  <si>
    <t>Triple CP</t>
  </si>
  <si>
    <t>Triple MAP</t>
  </si>
  <si>
    <t>Triple AP</t>
  </si>
  <si>
    <t>Double EP</t>
  </si>
  <si>
    <t>Double CP</t>
  </si>
  <si>
    <t>Double MAP</t>
  </si>
  <si>
    <t>Double AP</t>
  </si>
  <si>
    <t>Extra Passanger</t>
  </si>
  <si>
    <t>Extra Adult passenger</t>
  </si>
  <si>
    <t>Child without bed</t>
  </si>
  <si>
    <t xml:space="preserve">Child with bed </t>
  </si>
  <si>
    <t>Name</t>
  </si>
  <si>
    <t>Value</t>
  </si>
  <si>
    <t>Extra passenger</t>
  </si>
  <si>
    <t>NA</t>
  </si>
  <si>
    <t>Total Room Price</t>
  </si>
  <si>
    <t>1 Night/Day Price</t>
  </si>
  <si>
    <t>Package Price Details</t>
  </si>
  <si>
    <t>Pax Type</t>
  </si>
  <si>
    <t>Total Guest</t>
  </si>
  <si>
    <t>Cost Per Guest Per Night</t>
  </si>
  <si>
    <t>Grand Total Cost</t>
  </si>
  <si>
    <t>Total Adult or Child</t>
  </si>
  <si>
    <r>
      <t>IMPORTANT </t>
    </r>
    <r>
      <rPr>
        <sz val="15"/>
        <color rgb="FF089DDD"/>
        <rFont val="Cambria"/>
        <family val="1"/>
      </rPr>
      <t>PACKAGES INFORMATION</t>
    </r>
  </si>
  <si>
    <t>Packages Inclusion</t>
  </si>
  <si>
    <t>Packages Exclusion</t>
  </si>
  <si>
    <t>1. Extra Meals, Drinks &amp; things not mentioned in including.</t>
  </si>
  <si>
    <t>2. Guide / Entry Fees / Cable Car / Ropeway</t>
  </si>
  <si>
    <t>3. Adventure activities: Rafting / Bungy / Paragliding / Rope Activities / Boat Ride / Jungle Safari.</t>
  </si>
  <si>
    <t>4. Air / Train / Helicopter Tickets unless mentioned.</t>
  </si>
  <si>
    <t>5. Horse / Porter etc for Trekking.</t>
  </si>
  <si>
    <t>6. Travel &amp; Medical Insurance.</t>
  </si>
  <si>
    <t xml:space="preserve">Terms and Conditions for Sale of Tour Packages
</t>
  </si>
  <si>
    <t>1. All quotations provided by the company are subject to availability of hotel rooms/cruise cabins, services and/or flights at the time of processing the reservation. At the time of reservation, the prices might change without prior notice.</t>
  </si>
  <si>
    <t>2. All services provided by the Company are subject to full realization of payment before departure.</t>
  </si>
  <si>
    <t xml:space="preserve">3. Bookings for Travel inside 30 Days or sooner 100% Full payment required. </t>
  </si>
  <si>
    <t>4. This quote is valid till 48 hours of issuance date</t>
  </si>
  <si>
    <t>Terms and Conditions</t>
  </si>
  <si>
    <t>Markup</t>
  </si>
  <si>
    <t>Trip Duration</t>
  </si>
  <si>
    <t xml:space="preserve">Start Date </t>
  </si>
  <si>
    <t>End Date</t>
  </si>
  <si>
    <t>Final Package Amount</t>
  </si>
  <si>
    <t>Per Passenger Cost</t>
  </si>
  <si>
    <t>Total Duration of Stay</t>
  </si>
  <si>
    <t>Cost of Markup</t>
  </si>
  <si>
    <t>Advance</t>
  </si>
  <si>
    <t>Ghumo Firoo Travels: Where dreams become Itineraries, and Bucket-Lists turn into Checklists</t>
  </si>
  <si>
    <r>
      <t>FOLLOWING YOUR DAY WISE </t>
    </r>
    <r>
      <rPr>
        <b/>
        <sz val="16"/>
        <color rgb="FF089DDD"/>
        <rFont val="Cambria"/>
        <family val="1"/>
      </rPr>
      <t>SCHEDULED ITINERARY FOR THIS TOUR.</t>
    </r>
  </si>
  <si>
    <t>Activity 2</t>
  </si>
  <si>
    <t>Activity 3</t>
  </si>
  <si>
    <t>Activity 4</t>
  </si>
  <si>
    <t>Activity 5</t>
  </si>
  <si>
    <t>Activity 6</t>
  </si>
  <si>
    <t>Activity 7</t>
  </si>
  <si>
    <t xml:space="preserve">Name of Activity </t>
  </si>
  <si>
    <t>Description</t>
  </si>
  <si>
    <t>Price</t>
  </si>
  <si>
    <t>Tempo 17 Seater</t>
  </si>
  <si>
    <t>Tempo 20 Seater</t>
  </si>
  <si>
    <t>Tempo 25 Seater</t>
  </si>
  <si>
    <t>Mini Coach 30 Seater</t>
  </si>
  <si>
    <t>Large Coach 40 Seater</t>
  </si>
  <si>
    <t>Sedan 4 Seater</t>
  </si>
  <si>
    <t>Innova 7 Seater</t>
  </si>
  <si>
    <t>Crysta 7 Seater</t>
  </si>
  <si>
    <t>Winger 12 Seater</t>
  </si>
  <si>
    <t>KINDLY NOTE ALL THE PICK UP IS ON SIC BASIS &amp;  LOCATION ARE  (Baga, Calangute, Candolim &amp; Arpora)</t>
  </si>
  <si>
    <t>Transfer Cost</t>
  </si>
  <si>
    <t>Excursion Cost</t>
  </si>
  <si>
    <t>Cost of Extra Adult Passenger/Child</t>
  </si>
  <si>
    <t>https://rateonclick.com/rate</t>
  </si>
  <si>
    <t>Executive Room</t>
  </si>
  <si>
    <t>Mahindra Xuv Cab</t>
  </si>
  <si>
    <t>Vehicle</t>
  </si>
  <si>
    <t>Airport</t>
  </si>
  <si>
    <t>Day No.</t>
  </si>
  <si>
    <t>Title</t>
  </si>
  <si>
    <t>Taxi Shim Meghalaya</t>
  </si>
  <si>
    <t>70056 76675</t>
  </si>
  <si>
    <t>SIC Sightseeing</t>
  </si>
  <si>
    <t xml:space="preserve">Day 1: </t>
  </si>
  <si>
    <t xml:space="preserve">Day 2: </t>
  </si>
  <si>
    <t xml:space="preserve">Day 3: </t>
  </si>
  <si>
    <t xml:space="preserve">Day 4: </t>
  </si>
  <si>
    <t xml:space="preserve">Day 5: </t>
  </si>
  <si>
    <t xml:space="preserve">Day 6: </t>
  </si>
  <si>
    <t xml:space="preserve">Day 7: </t>
  </si>
  <si>
    <t xml:space="preserve">Day 8: </t>
  </si>
  <si>
    <t xml:space="preserve">Day 9: </t>
  </si>
  <si>
    <t xml:space="preserve">Day 10: </t>
  </si>
  <si>
    <t>MAP</t>
  </si>
  <si>
    <t>Honeymoon Inclusions</t>
  </si>
  <si>
    <t xml:space="preserve">Candle Lit Dinner </t>
  </si>
  <si>
    <t>Arrival at Cochin &amp; Transfer to Munnar + Munnar Sightseeing</t>
  </si>
  <si>
    <t>Upon arrival in Cochin, proceed to Munnar for a day of sightseeing. Start with a visit to Mattupetty Dam (additional ticket fee applies), a concrete gravity dam nestled in the mountains. Mattupetty offers a captivating blend of natural beauty, featuring sprawling tea plantations, rolling grasslands, and lush Shola forests. These forests are perfect for trekking and serve as a habitat for a wide variety of birds. Later visit Kundala Dam (ticket price extra), the famous Neela Kurunji flowers which bloom once in twelve years, bloom in the hills and valleys around Kundala lake. Enroute visit Echo Point &amp; Pothamedu View Point. Echo Point always has a greenish look as it is covered with abundant green sceneries. View Point is perfect to enjoy the spectacular beauty of the coffee, tea &amp; cardamom plantations. They are an adventurous destination, which will be a perfect choice for those who love to have a nature walk or trekking. Overnight stay at Hotel.</t>
  </si>
  <si>
    <t>Arrival at Cochin - Athirappilly Falls - Munnar</t>
  </si>
  <si>
    <t>On arrival at Cochin, proceed to Munnar via Athirappilly falls, the most famous waterfalls of Kerala. The 80 ft high and 330 ft wide Athirapally falls is a majestic waterfall that is right in front of the Sholayar ranges and is often referred to as the "Niagara Falls of India". Just 5 km from this fall is another majestic waterfall - Vazhachal. After spending some time at the waterfalls, proceed towards Munnar. Situated at 1,600m above sea level with unending expanse of tea plantations - pristine valleys and mountains, you’re often up above the clouds watching veils of mist clinging to the mountain tops. Overnight stay at Hotel.</t>
  </si>
  <si>
    <t>Munnar Full Day Sightseeing Tour</t>
  </si>
  <si>
    <t>After breakfast proceed for sightseeing of Munnar. Visit Eravikulam National Park (ticket price extra) Closed for Jan 2025 till March 2025 &amp; Mattupetty Dam (ticket price extra), a storage concrete gravity dam built in the mountains. Mattupetty offers many fascinating sights to relish. Besides the tea plantations &amp; the rolling grasslands, the Shola forests in and around Mattupetty are ideal for trekking and are habitat to a variety of birds. Later visit Kundala Dam (ticket price extra), the famous Neela Kurunji flowers which bloom once in twelve years, bloom in the hills and valleys around Kundala lake. Enroute visit Echo Point &amp; Pothamedu View Point. Echo Point always has a greenish look as it is covered with abundant green sceneries. View Point is perfect to enjoy the spectacular beauty of the coffee, tea &amp; cardamom plantations. They are an adventurous destination, which will be a perfect choice for those who love to have a nature walk or trekking. Overnight stay at Hotel.</t>
  </si>
  <si>
    <t>Munnar Dream Land Spices Park</t>
  </si>
  <si>
    <t>Enjoy your breakfast today before we head out. We’re going on a trip to Dream Land Spices Park at an extra cost for entry and rides. There’s so much to do and explore here where you can go for challenging Tyre Climbing or get drenched at the Water Park. Try out the Archery and Camel Ride, have fun at the Trampoline or bond with your family with some off-road cycling and city scooter. There’s something for everyone here! We’re going to head back to the hotel in Munnar for our overnight stay after this.</t>
  </si>
  <si>
    <t>Transfer from Munnar to Thekkady - (85 Kms - Approx 3 Hrs)</t>
  </si>
  <si>
    <t>After breakfast, check out from hotel &amp; proceed to Thekkady.
Thekkady is considered as a heaven for natural spices. The Periyar forests of Thekkady is one of the finest wildlife reserves in India. Periyar encompasses 777 sq km &amp; a 26-sq-km artificial lake.
Check-in at hotel &amp; later head out for sightseeing to visit the Periyar Wildlife Sanctuary (ticket price extra), it is home to herds of wild Elephants, Sambar, Tigers, Gaur, Lion-tailed Macaques, Nilgiri Langurs &amp; more. The place can sometimes feel a bit like Disneyland-in-the-Ghats, but its mountain scenery &amp; jungle walks make for an enjoyable visit. Evening enjoy the boat cruise in the lake (at additional cost) to spot wild animals. Overnight stay at Hotel.</t>
  </si>
  <si>
    <t>Transfer from Thekkady to Alleppey - (135 Kms - Approx 4 Hrs)</t>
  </si>
  <si>
    <t xml:space="preserve">After breakfast, check out from hotel and proceed to Alleppey which has an immense natural beauty and is also known as the “Venice of the East”. It is famous for backwater cruising and boat race. Check into your hotel/houseboat &amp; cruise (if staying in houseboat) through the Narrow Canal amidst the Paddy Fields, Coconut Lagoons and Coir Villages in Alleppey. Overnight stay in Alleppey. </t>
  </si>
  <si>
    <t>Transfer from Alleppey to Kovalam (160 Kms - Approx 4.5 Hrs)</t>
  </si>
  <si>
    <t>After breakfast, check out from hotel &amp; proceed to Kovalam. Kovalam is an internationally renowned beach destination with three adjacent crescent beaches &amp; also known as the "Paradise of the South".
On arrival check-in at the hotel &amp; relax for a while amidst the comforts of your room. By evening explore on your own to see how the everlasting sea touches the everlasting sky. Kovalam is the place where one can see the golden sand at the day time &amp; silver sand in the night, with high rock promontory &amp; a calm bay of blue waters, this beach paradise creates a unique aquarelle on moonlight nights. Overnight stay at Hotel.</t>
  </si>
  <si>
    <t>Transfer from Alleppey to Kovalam (160 Kms - Approx 4.5 Hrs) Via Poovar</t>
  </si>
  <si>
    <t>After breakfast check out from hotel &amp; proceed to Trivandrum, city of the Holy Ananth which is named after Ananthan, the cosmic serpent with a thousand heads. Visit Sri Padmanabhaswamy Temple (260 yrs old) - the most religious icon of the city built by the Travancore Royal family, here the deity Padmanabha reclines on the sacred serpent &amp; is made from over 10,000 salagramam (sacred stones) that were transported from Nepal by elephant. Poovar is one among the natural wonders where the Lake, River, Sea and Beach meet the land. A rare find in Kerala. Poovar is basically a fishing village and the only way to reach Poovar is through water, it is known for its pristine and virginal beauty, Poovar Beach is haunted by those who love solitude. Later proceed to Kovalam. Kovalam is an internationally renowned beach destination with three adjacent crescent beaches &amp; also known as the "Paradise of the South". On arrival check in at the hotel &amp; relax for a while amidst the comforts of your room. By evening explore on your own to see how the everlasting sea touches the everlasting sky. Kovalam is the place where one can see the golden sand at the day time &amp; silver sand in the night, with high rock promontory &amp; a calm bay of blue waters, this beach paradise creates a unique aquarelle on moonlight nights. Overnight stay at Hotel.</t>
  </si>
  <si>
    <t>Transfer from Alleppey to Kovalam (160 Kms - Approx 4.5 Hrs) With Sri Padmanabhaswamy Temple</t>
  </si>
  <si>
    <t>After breakfast check out from hotel &amp; proceed to Trivandrum, city of the Holy Ananth which is named after Ananthan, the cosmic serpent with a thousand heads. Visit Sri Padmanabhaswamy Temple (260 yrs old) - the most religious icon of the city built by the Travancore Royal family, here the deity Padmanabha reclines on the sacred serpent &amp; is made from over 10,000 salagramam (sacred stones) that were transported from Nepal by elephant. Later proceed to Kovalam. Kovalam is an internationally renowned beach destination with three adjacent crescent beaches &amp; also known as the "Paradise of the South". On arrival check in at the hotel &amp; relax for a while amidst the comforts of your room. By evening explore on your own to see how the everlasting sea touches the everlasting sky. Kovalam is the place where one can see the golden sand at the day time &amp; silver sand in the night, with high rock promontory &amp; a calm bay of blue waters, this beach paradise creates a unique aquarelle on moonlight nights. Overnight stay at Hotel.</t>
  </si>
  <si>
    <t>Transfer from Alleppey to Kovalam enroute Jatayu Earth Centre</t>
  </si>
  <si>
    <t>After breakfast in the morning, proceed for Jatayu earth's center located at a small village called Chadayamangalam in Kollam (around 50 kms from Trivandrum). Its assumed that this is the place where – Jatayu, a demi-god of Hindu epic "Ramayana" having the form of a vulture, fought with Ravana - multi headed demon king of Lanka (now Sri Lanka) to prevent kidnapping of Goddess Sita, and got slain off one of his wing. The giant concrete statue of Jatayu is built on a mighty rock named Jatayupara (para means rock in Malayalam). The colossal statue is 200 feet long, 150 feet wide and 70 feet making is the largest functional bird sculpture in the world. You can take a cable car ride (on supplementary cost) to visit the Jatayu statue, audio visual museum and mini theatre. Cable car can be booked online in advance. Jatayu earth's center is spread across four hills in Chadayamangalam. The Jatayu Rock Hill represents the safety of women and their honour. The Adventure Rock Hill offers many adventure activities and nature walk. Adventure activities (all on supplementary cost) include paintball, rifle shooting, chimney climbing, rappelling, bouldering, etc. At Elephant Rock Hill, you can enjoy an overnight stay here in tented camps. The spot offers zip-lining, campfire, live music and kitchen, etc. The fourth hill, The Kitchen Rock Hill, provides a ten-day Siddha rejuvenation package. Then proceed to Kovalam. Kovalam is an internationally renowned beach destination with three adjacent crescent beaches &amp; also known as the "Paradise of the South". On arrival check-in at the hotel &amp; relax for a while amidst the comforts of your room. By evening explore on your own to see how the everlasting sea touches the everlasting sky. Kovalam is the place where one can see the golden sand at the day time &amp; silver sand in the night, with high rock promontory &amp; a calm bay of blue waters, this beach paradise creates a unique aquarelle on moonlight nights. Overnight stay at Hotel.</t>
  </si>
  <si>
    <t>Sightseeing of Trivandrum &amp; Return to Kovalam (16 Kms - Approx 30 Mins)</t>
  </si>
  <si>
    <t>After breakfast proceed for sightseeing of Trivandrum, city of the Holy Ananth which is named after Ananthan, the cosmic serpent with a thousand heads. Visit Sri Padmanabhaswamy Temple (260 yrs old) - the most religious icon of the city built by the Travancore Royal family, here the deity Padmanabha reclines on the sacred serpent &amp; is made from over 10,000 salagramam (sacred stones) that were transported from Nepal by elephant. Secondly, visit Puthe Maliga Palace Museum (ticket price extra) - a 200 year old palace which has carved wooden ceilings, marble sculptures &amp; imported Belgian glass. Inside you'll find Kathakali images, an armoury, portraits of maharajas, ornate thrones &amp; other artefacts. Later proceed to Veli Tourist Village, a beautiful &amp; popular picnic spot well-known because of its serenity, the Lake that meets the Arabian Sea. The main attraction of Veli Tourist Village is a floating bridge that has been erected at this place. The place also has a floating restaurant that gives you an amazing array of food products which might match your taste buds. By evening proceed to Shankumugham Beach, the beach is well known for its breathtaking sunset view which is such memorable moment whose beauty will refresh your mind. The beautiful sculpture of a mermaid is a major attraction here, this giant statue is more than 35m long. Later return to Kovalam. Overnight stay at the Hotel. less
Sree Padmanabhaswamy Temple, Shanghumukham Beach, Veli Tourist Village, Kuthiramalika Palace Museum are also covered on Day 7 (Transfer to Trivandrum + Sightseeing of Trivandrum + Departure from Trivandrum); Kuthiramalika Palace Museum - Closed</t>
  </si>
  <si>
    <t>Day Sightseeing of Kanyakumari</t>
  </si>
  <si>
    <t>After breakfast, embark on a scenic drive to Kanyakumari, a town enveloped by majestic hills and scenic sea-shores, adorned with coconut trees and lush paddy fields. En route, make a stop at Suchindram, a sacred site situated along the banks of the river Pazhayar. In Kanyakumari, pay a visit to the Vivekananda Rock Memorial (entrance fee required), a revered monument believed to be the site where Goddess Kanyakumari undertook her Tapas. Next, explore the Thiruvalluvar Statue, a monumental tribute to Thiruvalluvar. The pedestal of the statue stands at 38 feet tall, while the statue itself towers at 95 feet, making for a grand total of 133 feet for the entire sculpture. In the evening, return to Kovalam for an overnight stay at your hotel.</t>
  </si>
  <si>
    <t>Full-Day Tour of the Paradise of the South, Kovalam</t>
  </si>
  <si>
    <t>Enjoy your breakfast at the hotel. On this day, you’ll enjoy a full-day trip around Kovalam to let you enjoy the panoramic views of Kovalam and the fresh air of nature. We start from Hawah Beach, named after the hippies who came to the shore in the seventies. It’s a popular destination for families and is just a hop away from Lighthouse Beach, which is also part of the day’s schedule. Then we head for Vellayani Lake, Kerala’s largest freshwater lake in the Thiruvananthapuram district. Then to the Halcyon Castle, also known as the Kovalam Palace, built in 1932 of the princely state of Travancore. We spend the rest of the day shopping at the local market for their specialties. We will return to the hotel and will spend the night in Kovalam.</t>
  </si>
  <si>
    <t>Day Trip to Jatayu Earth Centre</t>
  </si>
  <si>
    <t>After breakfast in the morning, proceed for Jatayu earth's center located at a small village called Chadayamangalam in Kollam (around 65 kms from Kovalam). Its assumed that this is the place where – Jatayu, a demi-god of Hindu epic "Ramayana" having the form of a vulture, fought with Ravana - multi headed demon king of Lanka (now Sri Lanka) to prevent kidnapping of Goddess Sita, and got slain off one of his wing. The giant concrete statue of Jatayu is built on a mighty rock named Jatayupara (para means rock in Malayalam). The colossal statue is 200 feet long, 150 feet wide and 70 feet making is the largest functional bird sculpture in the world. You can take a cable car ride (on supplementary cost) to visit the Jatayu statue, audio visual museum and mini theatre. Cable car can be booked online in advance. Jatayu earth's center is spread across four hills in Chadayamangalam. The Jatayu Rock Hill represents the safety of women and their honour. The Adventure Rock Hill offers many adventure activities and nature walk. Adventure activities (all on supplementary cost) include paintball, rifle shooting, chimney climbing, rappelling, bouldering, etc. At Elephant Rock Hill, you can enjoy an overnight stay here in tented camps. The spot offers zip-lining, campfire, live music and kitchen, etc. The fourth hill, The Kitchen Rock Hill, provides a ten-day Siddha rejuvenation package.</t>
  </si>
  <si>
    <t>Sightseeing of Poovar &amp; Return to Kovalam (17 Kms - Approx 40 Mins)</t>
  </si>
  <si>
    <t>After breakfast proceed to Poovar. Poovar is one among the natural wonders where the Lake, River, Sea and Beach meet the land. A rare find in Kerala. Poovar is basically a fishing village and the only way to reach Poovar is through water, it is known for its pristine and virginal beauty, Poovar Beach is haunted by those who love solitude. Day free for leisure in Poovar Island. Overnight stay at Hotel in Kovalam.</t>
  </si>
  <si>
    <t>Transfer to Trivandrum + Sightseeing of Trivandrum + Departure from Trivandrum</t>
  </si>
  <si>
    <t>After breakfast, proceed for sightseeing of Trivandrum. Visit Sri Padmanabhaswamy Temple (260 yrs old) - the most religious icon of the city built by the Travancore Royal family, here the deity Padmanabha reclines on the sacred serpent &amp; is made from over 10,000 salagramam (sacred stones) that were transported from Nepal by elephant.
Secondly, visit Puthe Maliga Palace Museum (ticket price extra) - a 200 year old palace which has carved wooden ceilings, marble sculptures &amp; imported Belgian glass. Inside you'll find Kathakali images, an armoury, portraits of maharajas, ornate thrones &amp; other artefacts.
Later proceed to Veli Tourist Village, a beautiful &amp; popular picnic spot well-known because of its serenity, the Lake that meets the Arabian Sea. The main attraction of Veli Tourist Village is a floating bridge that has been erected at this place. The place also has a floating restaurant that gives you an amazing array of food products which might match your taste buds.
By evening proceed to Shankumugham Beach, the beach is well known for its breathtaking sunset view which is such memorable moment whose beauty will refresh your mind. The beautiful sculpture of a mermaid is a major attraction here, this giant statue is more than 35m long.
Later transfer to Trivandrum airport/railway station for departure, back to home with beautiful memories of God's Own Country</t>
  </si>
  <si>
    <t xml:space="preserve">Thekkady </t>
  </si>
  <si>
    <t>KL1</t>
  </si>
  <si>
    <t>The Elephant Court</t>
  </si>
  <si>
    <t>KL2</t>
  </si>
  <si>
    <t>Alleppey</t>
  </si>
  <si>
    <t>Kovalam</t>
  </si>
  <si>
    <t>Patio</t>
  </si>
  <si>
    <t>Honeymoon Suite</t>
  </si>
  <si>
    <t>Garden Suite</t>
  </si>
  <si>
    <t>Pool Studio</t>
  </si>
  <si>
    <t>Peppervine</t>
  </si>
  <si>
    <t>Deluxe Room</t>
  </si>
  <si>
    <t>Suite Room</t>
  </si>
  <si>
    <t>Premium Room</t>
  </si>
  <si>
    <t>KL3</t>
  </si>
  <si>
    <t>KL4</t>
  </si>
  <si>
    <t>KL5</t>
  </si>
  <si>
    <t>KL6</t>
  </si>
  <si>
    <t>KL7</t>
  </si>
  <si>
    <t>KL8</t>
  </si>
  <si>
    <t>KL9</t>
  </si>
  <si>
    <t>KL10</t>
  </si>
  <si>
    <t>KL11</t>
  </si>
  <si>
    <t>KL12</t>
  </si>
  <si>
    <t>KL13</t>
  </si>
  <si>
    <t>KL14</t>
  </si>
  <si>
    <t>The Elephant Court-Patio-Double CP</t>
  </si>
  <si>
    <t>The Elephant Court-Patio-Double MAP</t>
  </si>
  <si>
    <t>The Elephant Court-Patio-Double AP</t>
  </si>
  <si>
    <t>The Elephant Court-Honeymoon Suite-Double CP</t>
  </si>
  <si>
    <t>The Elephant Court-Honeymoon Suite-Double MAP</t>
  </si>
  <si>
    <t>The Elephant Court-Honeymoon Suite-Double AP</t>
  </si>
  <si>
    <t>The Elephant Court-Garden Suite-Double CP</t>
  </si>
  <si>
    <t>The Elephant Court-Garden Suite-Double MAP</t>
  </si>
  <si>
    <t>The Elephant Court-Garden Suite-Double AP</t>
  </si>
  <si>
    <t>The Elephant Court-Pool Studio-Double CP</t>
  </si>
  <si>
    <t>The Elephant Court-Pool Studio-Double MAP</t>
  </si>
  <si>
    <t>The Elephant Court-Pool Studio-Double AP</t>
  </si>
  <si>
    <t>The Elephant Court-Extra Adult passenger-Double CP</t>
  </si>
  <si>
    <t>The Elephant Court-Extra Adult passenger-Double MAP</t>
  </si>
  <si>
    <t>The Elephant Court-Extra Adult passenger-Double AP</t>
  </si>
  <si>
    <t>The Elephant Court-Child with bed -Double CP</t>
  </si>
  <si>
    <t>The Elephant Court-Child with bed -Double MAP</t>
  </si>
  <si>
    <t>The Elephant Court-Child with bed -Double AP</t>
  </si>
  <si>
    <t>The Elephant Court-Child without bed-Double CP</t>
  </si>
  <si>
    <t>The Elephant Court-Child without bed-Double MAP</t>
  </si>
  <si>
    <t>The Elephant Court-Child without bed-Double AP</t>
  </si>
  <si>
    <t>Peppervine-Deluxe Room-Double CP</t>
  </si>
  <si>
    <t>Peppervine-Deluxe Room-Double MAP</t>
  </si>
  <si>
    <t>Peppervine-Deluxe Room-Double AP</t>
  </si>
  <si>
    <t>Peppervine-Suite Room-Double CP</t>
  </si>
  <si>
    <t>Peppervine-Suite Room-Double MAP</t>
  </si>
  <si>
    <t>Peppervine-Suite Room-Double AP</t>
  </si>
  <si>
    <t>Peppervine-Extra Adult passenger-Double CP</t>
  </si>
  <si>
    <t>Peppervine-Extra Adult passenger-Double MAP</t>
  </si>
  <si>
    <t>Peppervine-Extra Adult passenger-Double AP</t>
  </si>
  <si>
    <t>Peppervine-Child with bed -Double CP</t>
  </si>
  <si>
    <t>Peppervine-Child with bed -Double MAP</t>
  </si>
  <si>
    <t>Peppervine-Child with bed -Double AP</t>
  </si>
  <si>
    <t>Peppervine-Child without bed-Double CP</t>
  </si>
  <si>
    <t>Peppervine-Child without bed-Double MAP</t>
  </si>
  <si>
    <t>Peppervine-Child without bed-Double AP</t>
  </si>
  <si>
    <t>Peppervine-Premium Room-Double CP</t>
  </si>
  <si>
    <t>Peppervine-Premium Room-Double MAP</t>
  </si>
  <si>
    <t>Peppervine-Premium Room-Double AP</t>
  </si>
  <si>
    <r>
      <t xml:space="preserve">Kerala </t>
    </r>
    <r>
      <rPr>
        <sz val="24"/>
        <color rgb="FF089DDD"/>
        <rFont val="Cambria"/>
        <family val="1"/>
      </rPr>
      <t>Deluxe Plus Package</t>
    </r>
  </si>
  <si>
    <t>This is Navin Kumar Mishra, and I will be working with you to plan your trip to Kerala.</t>
  </si>
  <si>
    <t>Package Name: Kerala Deluxe Plus Package</t>
  </si>
  <si>
    <t>Uday Samudra Leisure Beach Hotel</t>
  </si>
  <si>
    <t xml:space="preserve">Coastal view room </t>
  </si>
  <si>
    <t>KL15</t>
  </si>
  <si>
    <t>KL16</t>
  </si>
  <si>
    <t>KL17</t>
  </si>
  <si>
    <t>KL18</t>
  </si>
  <si>
    <t>KL19</t>
  </si>
  <si>
    <t>KL20</t>
  </si>
  <si>
    <t>KL21</t>
  </si>
  <si>
    <t>KL22</t>
  </si>
  <si>
    <t>KL23</t>
  </si>
  <si>
    <t>KL24</t>
  </si>
  <si>
    <t>KL25</t>
  </si>
  <si>
    <t>KL26</t>
  </si>
  <si>
    <t>KL27</t>
  </si>
  <si>
    <t>KL28</t>
  </si>
  <si>
    <t>KL29</t>
  </si>
  <si>
    <t>KL30</t>
  </si>
  <si>
    <t>KL31</t>
  </si>
  <si>
    <t>KL32</t>
  </si>
  <si>
    <t>KL33</t>
  </si>
  <si>
    <t>KL34</t>
  </si>
  <si>
    <t>KL35</t>
  </si>
  <si>
    <t>KL36</t>
  </si>
  <si>
    <t>KL37</t>
  </si>
  <si>
    <t>KL38</t>
  </si>
  <si>
    <t>KL39</t>
  </si>
  <si>
    <t>KL40</t>
  </si>
  <si>
    <t>KL41</t>
  </si>
  <si>
    <t>KL42</t>
  </si>
  <si>
    <t>KL43</t>
  </si>
  <si>
    <t>KL44</t>
  </si>
  <si>
    <t>KL45</t>
  </si>
  <si>
    <t>KL48</t>
  </si>
  <si>
    <t>KL49</t>
  </si>
  <si>
    <t>KL50</t>
  </si>
  <si>
    <t>KL51</t>
  </si>
  <si>
    <t>KL52</t>
  </si>
  <si>
    <t>The Byke Heritage - Puja Samudra</t>
  </si>
  <si>
    <t>Deluxe</t>
  </si>
  <si>
    <t>Super Deluxe</t>
  </si>
  <si>
    <t>Uday Backwater Resort</t>
  </si>
  <si>
    <t xml:space="preserve">Lakeview Deluxe Room </t>
  </si>
  <si>
    <t xml:space="preserve">Lake View Elite Rooms </t>
  </si>
  <si>
    <t xml:space="preserve">Lakeview Premium Room </t>
  </si>
  <si>
    <t xml:space="preserve">Lakeview Suite Room </t>
  </si>
  <si>
    <t xml:space="preserve">Pool Villa </t>
  </si>
  <si>
    <t xml:space="preserve">Premium Pool Villa (2 Bed Room unit) </t>
  </si>
  <si>
    <t>Uday Suites, The Airport Hotel</t>
  </si>
  <si>
    <t>Thiruvananthapuram</t>
  </si>
  <si>
    <t xml:space="preserve">Mystica </t>
  </si>
  <si>
    <t xml:space="preserve">Ixora </t>
  </si>
  <si>
    <t xml:space="preserve">Exotica </t>
  </si>
  <si>
    <t xml:space="preserve">Raja Ravi Varma Suite </t>
  </si>
  <si>
    <t xml:space="preserve">Heritage Suite </t>
  </si>
  <si>
    <t xml:space="preserve">Tea castle resort </t>
  </si>
  <si>
    <t>Munnar</t>
  </si>
  <si>
    <t>Club Room</t>
  </si>
  <si>
    <t>KL53</t>
  </si>
  <si>
    <t>Uday Samudra Leisure Beach Hotel-Coastal view room -Double CP</t>
  </si>
  <si>
    <t>Uday Samudra Leisure Beach Hotel-Coastal view room -Double MAP</t>
  </si>
  <si>
    <t>Uday Samudra Leisure Beach Hotel-Coastal view room -Double AP</t>
  </si>
  <si>
    <t>Uday Samudra Leisure Beach Hotel-Extra Adult passenger-Double CP</t>
  </si>
  <si>
    <t>Uday Samudra Leisure Beach Hotel-Extra Adult passenger-Double MAP</t>
  </si>
  <si>
    <t>Uday Samudra Leisure Beach Hotel-Extra Adult passenger-Double AP</t>
  </si>
  <si>
    <t>Uday Samudra Leisure Beach Hotel-Child without bed-Double CP</t>
  </si>
  <si>
    <t>Uday Samudra Leisure Beach Hotel-Child without bed-Double MAP</t>
  </si>
  <si>
    <t>Uday Samudra Leisure Beach Hotel-Child without bed-Double AP</t>
  </si>
  <si>
    <t>The Byke Heritage - Puja Samudra-Deluxe-Double CP</t>
  </si>
  <si>
    <t>The Byke Heritage - Puja Samudra-Deluxe-Double MAP</t>
  </si>
  <si>
    <t>The Byke Heritage - Puja Samudra-Deluxe-Double AP</t>
  </si>
  <si>
    <t>The Byke Heritage - Puja Samudra-Super Deluxe-Double CP</t>
  </si>
  <si>
    <t>The Byke Heritage - Puja Samudra-Super Deluxe-Double MAP</t>
  </si>
  <si>
    <t>The Byke Heritage - Puja Samudra-Super Deluxe-Double AP</t>
  </si>
  <si>
    <t>Uday Backwater Resort-Lakeview Deluxe Room -Double CP</t>
  </si>
  <si>
    <t>Uday Backwater Resort-Lakeview Deluxe Room -Double MAP</t>
  </si>
  <si>
    <t>Uday Backwater Resort-Lakeview Deluxe Room -Double AP</t>
  </si>
  <si>
    <t>Uday Backwater Resort-Lake View Elite Rooms -Double CP</t>
  </si>
  <si>
    <t>Uday Backwater Resort-Lake View Elite Rooms -Double MAP</t>
  </si>
  <si>
    <t>Uday Backwater Resort-Lake View Elite Rooms -Double AP</t>
  </si>
  <si>
    <t>Uday Backwater Resort-Lakeview Premium Room -Double CP</t>
  </si>
  <si>
    <t>Uday Backwater Resort-Lakeview Premium Room -Double MAP</t>
  </si>
  <si>
    <t>Uday Backwater Resort-Lakeview Premium Room -Double AP</t>
  </si>
  <si>
    <t>Uday Backwater Resort-Lakeview Suite Room -Double CP</t>
  </si>
  <si>
    <t>Uday Backwater Resort-Lakeview Suite Room -Double MAP</t>
  </si>
  <si>
    <t>Uday Backwater Resort-Lakeview Suite Room -Double AP</t>
  </si>
  <si>
    <t>Uday Backwater Resort-Pool Villa -Double CP</t>
  </si>
  <si>
    <t>Uday Backwater Resort-Pool Villa -Double MAP</t>
  </si>
  <si>
    <t>Uday Backwater Resort-Pool Villa -Double AP</t>
  </si>
  <si>
    <t>Uday Backwater Resort-Premium Pool Villa (2 Bed Room unit) -Double CP</t>
  </si>
  <si>
    <t>Uday Backwater Resort-Premium Pool Villa (2 Bed Room unit) -Double MAP</t>
  </si>
  <si>
    <t>Uday Backwater Resort-Premium Pool Villa (2 Bed Room unit) -Double AP</t>
  </si>
  <si>
    <t>Uday Backwater Resort-Extra Adult passenger-Double CP</t>
  </si>
  <si>
    <t>Uday Backwater Resort-Extra Adult passenger-Double MAP</t>
  </si>
  <si>
    <t>Uday Backwater Resort-Extra Adult passenger-Double AP</t>
  </si>
  <si>
    <t>Uday Backwater Resort-Child with bed -Double CP</t>
  </si>
  <si>
    <t>Uday Backwater Resort-Child with bed -Double MAP</t>
  </si>
  <si>
    <t>Uday Backwater Resort-Child with bed -Double AP</t>
  </si>
  <si>
    <t>Uday Backwater Resort-Child without bed-Double CP</t>
  </si>
  <si>
    <t>Uday Backwater Resort-Child without bed-Double MAP</t>
  </si>
  <si>
    <t>Uday Backwater Resort-Child without bed-Double AP</t>
  </si>
  <si>
    <t>Uday Suites, The Airport Hotel-Mystica -Double CP</t>
  </si>
  <si>
    <t>Uday Suites, The Airport Hotel-Mystica -Double MAP</t>
  </si>
  <si>
    <t>Uday Suites, The Airport Hotel-Mystica -Double AP</t>
  </si>
  <si>
    <t>Uday Suites, The Airport Hotel-Ixora -Double CP</t>
  </si>
  <si>
    <t>Uday Suites, The Airport Hotel-Ixora -Double MAP</t>
  </si>
  <si>
    <t>Uday Suites, The Airport Hotel-Ixora -Double AP</t>
  </si>
  <si>
    <t>Uday Suites, The Airport Hotel-Exotica -Double CP</t>
  </si>
  <si>
    <t>Uday Suites, The Airport Hotel-Exotica -Double MAP</t>
  </si>
  <si>
    <t>Uday Suites, The Airport Hotel-Exotica -Double AP</t>
  </si>
  <si>
    <t>Uday Suites, The Airport Hotel-Raja Ravi Varma Suite -Double CP</t>
  </si>
  <si>
    <t>Uday Suites, The Airport Hotel-Raja Ravi Varma Suite -Double MAP</t>
  </si>
  <si>
    <t>Uday Suites, The Airport Hotel-Raja Ravi Varma Suite -Double AP</t>
  </si>
  <si>
    <t>Uday Suites, The Airport Hotel-Heritage Suite -Double CP</t>
  </si>
  <si>
    <t>Uday Suites, The Airport Hotel-Heritage Suite -Double MAP</t>
  </si>
  <si>
    <t>Uday Suites, The Airport Hotel-Heritage Suite -Double AP</t>
  </si>
  <si>
    <t>Uday Suites, The Airport Hotel-Extra Adult passenger-Double CP</t>
  </si>
  <si>
    <t>Uday Suites, The Airport Hotel-Extra Adult passenger-Double MAP</t>
  </si>
  <si>
    <t>Uday Suites, The Airport Hotel-Extra Adult passenger-Double AP</t>
  </si>
  <si>
    <t>Uday Suites, The Airport Hotel-Child with bed -Double CP</t>
  </si>
  <si>
    <t>Uday Suites, The Airport Hotel-Child with bed -Double MAP</t>
  </si>
  <si>
    <t>Uday Suites, The Airport Hotel-Child with bed -Double AP</t>
  </si>
  <si>
    <t>Uday Suites, The Airport Hotel-Child without bed-Double CP</t>
  </si>
  <si>
    <t>Uday Suites, The Airport Hotel-Child without bed-Double MAP</t>
  </si>
  <si>
    <t>Uday Suites, The Airport Hotel-Child without bed-Double AP</t>
  </si>
  <si>
    <t>Tea castle resort -Executive Room-Double CP</t>
  </si>
  <si>
    <t>Tea castle resort -Executive Room-Double MAP</t>
  </si>
  <si>
    <t>Tea castle resort -Executive Room-Double AP</t>
  </si>
  <si>
    <t>Tea castle resort -Deluxe Room-Double CP</t>
  </si>
  <si>
    <t>Tea castle resort -Deluxe Room-Double MAP</t>
  </si>
  <si>
    <t>Tea castle resort -Deluxe Room-Double AP</t>
  </si>
  <si>
    <t>Tea castle resort -Club Room-Double CP</t>
  </si>
  <si>
    <t>Tea castle resort -Club Room-Double MAP</t>
  </si>
  <si>
    <t>Tea castle resort -Club Room-Double AP</t>
  </si>
  <si>
    <t>Tea castle resort -Extra Adult passenger-Double CP</t>
  </si>
  <si>
    <t>Tea castle resort -Extra Adult passenger-Double MAP</t>
  </si>
  <si>
    <t>Tea castle resort -Extra Adult passenger-Double AP</t>
  </si>
  <si>
    <t>Tea castle resort -Child with bed -Double CP</t>
  </si>
  <si>
    <t>Tea castle resort -Child with bed -Double MAP</t>
  </si>
  <si>
    <t>Tea castle resort -Child with bed -Double AP</t>
  </si>
  <si>
    <t>Tea castle resort -Child without bed-Double CP</t>
  </si>
  <si>
    <t>Tea castle resort -Child without bed-Double MAP</t>
  </si>
  <si>
    <t>Tea castle resort -Child without bed-Double AP</t>
  </si>
  <si>
    <t xml:space="preserve">Address: - Shop No. 210, 2nd Floor, Pratap Complex, Metro Gate Number 3, near Munirka, Baba Gangnath Market, Munirka, New Delhi, Delhi 110067                                                                                      Phone: +91-9870229792, +91-9910987264 
Email: info@ghumofiroo.com </t>
  </si>
  <si>
    <t xml:space="preserve">The Breeze Resort </t>
  </si>
  <si>
    <t>KL54</t>
  </si>
  <si>
    <t>KL55</t>
  </si>
  <si>
    <t>KL56</t>
  </si>
  <si>
    <t>KL57</t>
  </si>
  <si>
    <t>KL58</t>
  </si>
  <si>
    <t>KL59</t>
  </si>
  <si>
    <t>KL62</t>
  </si>
  <si>
    <t>KL63</t>
  </si>
  <si>
    <t>KL64</t>
  </si>
  <si>
    <t>The Whispering Meadows</t>
  </si>
  <si>
    <t>Blossom Hill Resort</t>
  </si>
  <si>
    <t>Jungle Park Resort</t>
  </si>
  <si>
    <t>Venice Iva Residency</t>
  </si>
  <si>
    <t>Seven Springs Plantation Resort</t>
  </si>
  <si>
    <t>KL65</t>
  </si>
  <si>
    <t>KL66</t>
  </si>
  <si>
    <t>KL67</t>
  </si>
  <si>
    <t>Super Deluxe Room</t>
  </si>
  <si>
    <t>Suite Rooms</t>
  </si>
  <si>
    <t>Tree House</t>
  </si>
  <si>
    <t>KL68</t>
  </si>
  <si>
    <t>The Breeze Resort -Extra Adult passenger-Double MAP</t>
  </si>
  <si>
    <t>The Whispering Meadows-Executive Room-Double MAP</t>
  </si>
  <si>
    <t>The Whispering Meadows-Extra Adult passenger-Double MAP</t>
  </si>
  <si>
    <t>Blossom Hill Resort-Extra Adult passenger-Double MAP</t>
  </si>
  <si>
    <t>Jungle Park Resort-Extra Adult passenger-Double MAP</t>
  </si>
  <si>
    <t>Seven Springs Plantation Resort-Deluxe Room-Double CP</t>
  </si>
  <si>
    <t>Seven Springs Plantation Resort-Deluxe Room-Double MAP</t>
  </si>
  <si>
    <t>Seven Springs Plantation Resort-Super Deluxe Room-Double CP</t>
  </si>
  <si>
    <t>Seven Springs Plantation Resort-Super Deluxe Room-Double MAP</t>
  </si>
  <si>
    <t>Seven Springs Plantation Resort-Suite Rooms-Double CP</t>
  </si>
  <si>
    <t>Seven Springs Plantation Resort-Suite Rooms-Double MAP</t>
  </si>
  <si>
    <t>Seven Springs Plantation Resort-Tree House-Double CP</t>
  </si>
  <si>
    <t>Seven Springs Plantation Resort-Tree House-Double MAP</t>
  </si>
  <si>
    <t>Seven Springs Plantation Resort-Extra Adult passenger-Double CP</t>
  </si>
  <si>
    <t>Seven Springs Plantation Resort-Extra Adult passenger-Double MAP</t>
  </si>
  <si>
    <t>Casino Houseboats</t>
  </si>
  <si>
    <t>KL69</t>
  </si>
  <si>
    <t xml:space="preserve">Standard </t>
  </si>
  <si>
    <t>Preimum</t>
  </si>
  <si>
    <t>KL70</t>
  </si>
  <si>
    <t>Casino Houseboats-Standard -Double AP</t>
  </si>
  <si>
    <t>Casino Houseboats-Preimum-Double AP</t>
  </si>
  <si>
    <t xml:space="preserve">Haveli Backwater Resort </t>
  </si>
  <si>
    <t>Royal Deluxe</t>
  </si>
  <si>
    <t>Royal Grand</t>
  </si>
  <si>
    <t>Royal Suite</t>
  </si>
  <si>
    <t>KL72</t>
  </si>
  <si>
    <t>KL73</t>
  </si>
  <si>
    <t>KL74</t>
  </si>
  <si>
    <t>KL75</t>
  </si>
  <si>
    <t>KL76</t>
  </si>
  <si>
    <t>KL77</t>
  </si>
  <si>
    <t>Pagoda Resorts</t>
  </si>
  <si>
    <t xml:space="preserve"> Deluxe</t>
  </si>
  <si>
    <t>Deluxe Superior</t>
  </si>
  <si>
    <t>Pagoda Cottage</t>
  </si>
  <si>
    <t>Suite</t>
  </si>
  <si>
    <t>KL78</t>
  </si>
  <si>
    <t>KL79</t>
  </si>
  <si>
    <t>KL80</t>
  </si>
  <si>
    <t>KL81</t>
  </si>
  <si>
    <t>KL82</t>
  </si>
  <si>
    <t>KL83</t>
  </si>
  <si>
    <t>KL84</t>
  </si>
  <si>
    <t xml:space="preserve">Pagoda Plantation Resort  </t>
  </si>
  <si>
    <t>Valley View Deluxe</t>
  </si>
  <si>
    <t>Hill Top Deluxe</t>
  </si>
  <si>
    <t>Hill Top Premium</t>
  </si>
  <si>
    <t>Valley View Family Room (4 PAX)</t>
  </si>
  <si>
    <t>Tea Valley Deluxe</t>
  </si>
  <si>
    <t>Tea Valley Premium</t>
  </si>
  <si>
    <t>KL85</t>
  </si>
  <si>
    <t>KL86</t>
  </si>
  <si>
    <t>KL87</t>
  </si>
  <si>
    <t>KL88</t>
  </si>
  <si>
    <t>KL89</t>
  </si>
  <si>
    <t>KL90</t>
  </si>
  <si>
    <t>KL91</t>
  </si>
  <si>
    <t>KL92</t>
  </si>
  <si>
    <t>KL93</t>
  </si>
  <si>
    <t xml:space="preserve"> </t>
  </si>
  <si>
    <t>Haveli Backwater Resort -Royal Deluxe-Double CP</t>
  </si>
  <si>
    <t>Haveli Backwater Resort -Royal Deluxe-Double MAP</t>
  </si>
  <si>
    <t>Haveli Backwater Resort -Royal Deluxe-Double AP</t>
  </si>
  <si>
    <t>Haveli Backwater Resort -Royal Grand-Double CP</t>
  </si>
  <si>
    <t>Haveli Backwater Resort -Royal Grand-Double MAP</t>
  </si>
  <si>
    <t>Haveli Backwater Resort -Royal Grand-Double AP</t>
  </si>
  <si>
    <t>Haveli Backwater Resort -Royal Suite-Double CP</t>
  </si>
  <si>
    <t>Haveli Backwater Resort -Royal Suite-Double MAP</t>
  </si>
  <si>
    <t>Haveli Backwater Resort -Royal Suite-Double AP</t>
  </si>
  <si>
    <t>Haveli Backwater Resort -Extra Adult passenger-Double CP</t>
  </si>
  <si>
    <t>Haveli Backwater Resort -Extra Adult passenger-Double MAP</t>
  </si>
  <si>
    <t>Haveli Backwater Resort -Extra Adult passenger-Double AP</t>
  </si>
  <si>
    <t>Haveli Backwater Resort -Child with bed -Double CP</t>
  </si>
  <si>
    <t>Haveli Backwater Resort -Child with bed -Double MAP</t>
  </si>
  <si>
    <t>Haveli Backwater Resort -Child with bed -Double AP</t>
  </si>
  <si>
    <t>Haveli Backwater Resort -Child without bed-Double CP</t>
  </si>
  <si>
    <t>Haveli Backwater Resort -Child without bed-Double MAP</t>
  </si>
  <si>
    <t>Haveli Backwater Resort -Child without bed-Double AP</t>
  </si>
  <si>
    <t>Pagoda Resorts- Deluxe-Double CP</t>
  </si>
  <si>
    <t>Pagoda Resorts- Deluxe-Double MAP</t>
  </si>
  <si>
    <t>Pagoda Resorts- Deluxe-Double AP</t>
  </si>
  <si>
    <t>Pagoda Resorts-Deluxe Superior-Double CP</t>
  </si>
  <si>
    <t>Pagoda Resorts-Deluxe Superior-Double MAP</t>
  </si>
  <si>
    <t>Pagoda Resorts-Deluxe Superior-Double AP</t>
  </si>
  <si>
    <t>Pagoda Resorts-Pagoda Cottage-Double CP</t>
  </si>
  <si>
    <t>Pagoda Resorts-Pagoda Cottage-Double MAP</t>
  </si>
  <si>
    <t>Pagoda Resorts-Pagoda Cottage-Double AP</t>
  </si>
  <si>
    <t>Pagoda Resorts-Suite-Double CP</t>
  </si>
  <si>
    <t>Pagoda Resorts-Suite-Double MAP</t>
  </si>
  <si>
    <t>Pagoda Resorts-Suite-Double AP</t>
  </si>
  <si>
    <t>Pagoda Resorts-Extra Adult passenger-Double CP</t>
  </si>
  <si>
    <t>Pagoda Resorts-Extra Adult passenger-Double MAP</t>
  </si>
  <si>
    <t>Pagoda Resorts-Extra Adult passenger-Double AP</t>
  </si>
  <si>
    <t>Pagoda Resorts-Child with bed -Double CP</t>
  </si>
  <si>
    <t>Pagoda Resorts-Child with bed -Double MAP</t>
  </si>
  <si>
    <t>Pagoda Resorts-Child with bed -Double AP</t>
  </si>
  <si>
    <t>Pagoda Resorts-Child without bed-Double CP</t>
  </si>
  <si>
    <t>Pagoda Resorts-Child without bed-Double MAP</t>
  </si>
  <si>
    <t>Pagoda Resorts-Child without bed-Double AP</t>
  </si>
  <si>
    <t>Pagoda Plantation Resort  -Valley View Deluxe-Double CP</t>
  </si>
  <si>
    <t>Pagoda Plantation Resort  -Valley View Deluxe-Double MAP</t>
  </si>
  <si>
    <t>Pagoda Plantation Resort  -Hill Top Deluxe-Double CP</t>
  </si>
  <si>
    <t>Pagoda Plantation Resort  -Hill Top Deluxe-Double MAP</t>
  </si>
  <si>
    <t>Pagoda Plantation Resort  -Hill Top Premium-Double CP</t>
  </si>
  <si>
    <t>Pagoda Plantation Resort  -Hill Top Premium-Double MAP</t>
  </si>
  <si>
    <t>Pagoda Plantation Resort  -Valley View Family Room (4 PAX)-Double CP</t>
  </si>
  <si>
    <t>Pagoda Plantation Resort  -Valley View Family Room (4 PAX)-Double MAP</t>
  </si>
  <si>
    <t>Pagoda Plantation Resort  -Tea Valley Deluxe-Double CP</t>
  </si>
  <si>
    <t>Pagoda Plantation Resort  -Tea Valley Deluxe-Double MAP</t>
  </si>
  <si>
    <t>Pagoda Plantation Resort  -Tea Valley Premium-Double CP</t>
  </si>
  <si>
    <t>Pagoda Plantation Resort  -Tea Valley Premium-Double MAP</t>
  </si>
  <si>
    <t>Pagoda Plantation Resort  -Tea Valley Premium-Triple EP</t>
  </si>
  <si>
    <t>Pagoda Plantation Resort  -Extra Adult passenger-Double CP</t>
  </si>
  <si>
    <t>Pagoda Plantation Resort  -Extra Adult passenger-Double MAP</t>
  </si>
  <si>
    <t>Pagoda Plantation Resort  -Child with bed -Double CP</t>
  </si>
  <si>
    <t>Pagoda Plantation Resort  -Child with bed -Double MAP</t>
  </si>
  <si>
    <t>Pagoda Plantation Resort  -Child without bed-Double CP</t>
  </si>
  <si>
    <t>Pagoda Plantation Resort  -Child without bed-Double MAP</t>
  </si>
  <si>
    <t>Pagoda Plantation Resort  -Child without bed-Triple EP</t>
  </si>
  <si>
    <t>Deluxe Room (With Balcony)</t>
  </si>
  <si>
    <t>Valley View Room (With Balcony)</t>
  </si>
  <si>
    <t>KL94</t>
  </si>
  <si>
    <t>KL95</t>
  </si>
  <si>
    <t>The Breeze Resort -Deluxe Room (With Balcony)-Double CP</t>
  </si>
  <si>
    <t>The Breeze Resort -Deluxe Room (With Balcony)-Double MAP</t>
  </si>
  <si>
    <t>The Breeze Resort -Valley View Room (With Balcony)-Double CP</t>
  </si>
  <si>
    <t>Jungle View Deluxe (Non A/c)</t>
  </si>
  <si>
    <t>Jungle View Venus (A/c)</t>
  </si>
  <si>
    <t>DeluxeFamilyRoom-03Pax (Non A/c)</t>
  </si>
  <si>
    <t>Jungle View Family- 4Pax (Non A/c)</t>
  </si>
  <si>
    <t>Jungle View Family- 4Pax (A/c)</t>
  </si>
  <si>
    <t>KL96</t>
  </si>
  <si>
    <t>KL97</t>
  </si>
  <si>
    <t>KL98</t>
  </si>
  <si>
    <t>KL99</t>
  </si>
  <si>
    <t>KL100</t>
  </si>
  <si>
    <t>KL101</t>
  </si>
  <si>
    <t>KL102</t>
  </si>
  <si>
    <t>Valley View Cottage (With Balcony)</t>
  </si>
  <si>
    <t>Premium Valley View Cottage (With Balcony)</t>
  </si>
  <si>
    <t>KL103</t>
  </si>
  <si>
    <t>Blossom Hill Resort-Valley View Cottage (With Balcony)-Double CP</t>
  </si>
  <si>
    <t>Blossom Hill Resort-Valley View Cottage (With Balcony)-Double MAP</t>
  </si>
  <si>
    <t>Blossom Hill Resort-Extra Adult passenger-Double CP</t>
  </si>
  <si>
    <t>Jungle Park Resort-Jungle View Deluxe (Non A/c)-Double CP</t>
  </si>
  <si>
    <t>Jungle Park Resort-Jungle View Deluxe (Non A/c)-Double MAP</t>
  </si>
  <si>
    <t>Jungle Park Resort-Jungle View Venus (A/c)-Double CP</t>
  </si>
  <si>
    <t>Jungle Park Resort-Jungle View Venus (A/c)-Double MAP</t>
  </si>
  <si>
    <t>Jungle Park Resort-DeluxeFamilyRoom-03Pax (Non A/c)-Double CP</t>
  </si>
  <si>
    <t>Jungle Park Resort-DeluxeFamilyRoom-03Pax (Non A/c)-Double MAP</t>
  </si>
  <si>
    <t>Jungle Park Resort-Jungle View Family- 4Pax (Non A/c)-Double CP</t>
  </si>
  <si>
    <t>Jungle Park Resort-Jungle View Family- 4Pax (Non A/c)-Double MAP</t>
  </si>
  <si>
    <t>Jungle Park Resort-Jungle View Family- 4Pax (A/c)-Double CP</t>
  </si>
  <si>
    <t>Jungle Park Resort-Jungle View Family- 4Pax (A/c)-Double MAP</t>
  </si>
  <si>
    <t>Jungle Park Resort-Extra Adult passenger-Double CP</t>
  </si>
  <si>
    <t>Jungle Park Resort-Child with bed -Double CP</t>
  </si>
  <si>
    <t>Jungle Park Resort-Child with bed -Double MAP</t>
  </si>
  <si>
    <t>Jungle Park Resort-Child without bed-Double CP</t>
  </si>
  <si>
    <t>Jungle Park Resort-Child without bed-Double MAP</t>
  </si>
  <si>
    <t>Blossom Hill Resort-Premium Valley View Cottage (With Balcony)-Double CP</t>
  </si>
  <si>
    <t>Blossom Hill Resort-Premium Valley View Cottage (With Balcony)-Double MAP</t>
  </si>
  <si>
    <t>Symphony Houseboats</t>
  </si>
  <si>
    <t>KL104</t>
  </si>
  <si>
    <t>KL105</t>
  </si>
  <si>
    <t>Jeevan Beach Resort</t>
  </si>
  <si>
    <t xml:space="preserve">Sea Shell (Partial Sea View) </t>
  </si>
  <si>
    <t xml:space="preserve">Sea Shore (Partial Sea View over the Pool) </t>
  </si>
  <si>
    <t xml:space="preserve">Bay Watch (Sunset Sea View) </t>
  </si>
  <si>
    <t xml:space="preserve">Exotic Sea View (Best Sea View) </t>
  </si>
  <si>
    <t xml:space="preserve">Wooden Suite (Partial Sea View) </t>
  </si>
  <si>
    <t xml:space="preserve">Pearl Sea View With Terrace (Best Sea View) </t>
  </si>
  <si>
    <t>KL106</t>
  </si>
  <si>
    <t>KL107</t>
  </si>
  <si>
    <t>KL108</t>
  </si>
  <si>
    <t>KL109</t>
  </si>
  <si>
    <t>KL110</t>
  </si>
  <si>
    <t>Jeevan Beach Resort-Sea Shell (Partial Sea View) -Double CP</t>
  </si>
  <si>
    <t>Jeevan Beach Resort-Sea Shell (Partial Sea View) -Double MAP</t>
  </si>
  <si>
    <t>Jeevan Beach Resort-Sea Shore (Partial Sea View over the Pool) -Double CP</t>
  </si>
  <si>
    <t>Jeevan Beach Resort-Sea Shore (Partial Sea View over the Pool) -Double MAP</t>
  </si>
  <si>
    <t>Jeevan Beach Resort-Bay Watch (Sunset Sea View) -Double CP</t>
  </si>
  <si>
    <t>Jeevan Beach Resort-Bay Watch (Sunset Sea View) -Double MAP</t>
  </si>
  <si>
    <t>Jeevan Beach Resort-Exotic Sea View (Best Sea View) -Double CP</t>
  </si>
  <si>
    <t>Jeevan Beach Resort-Exotic Sea View (Best Sea View) -Double MAP</t>
  </si>
  <si>
    <t>Jeevan Beach Resort-Wooden Suite (Partial Sea View) -Double CP</t>
  </si>
  <si>
    <t>Jeevan Beach Resort-Wooden Suite (Partial Sea View) -Double MAP</t>
  </si>
  <si>
    <t>Jeevan Beach Resort-Pearl Sea View With Terrace (Best Sea View) -Double CP</t>
  </si>
  <si>
    <t>Jeevan Beach Resort-Pearl Sea View With Terrace (Best Sea View) -Double MAP</t>
  </si>
  <si>
    <t>Venice Iva Residency-Deluxe Room-Double CP</t>
  </si>
  <si>
    <t>Venice Iva Residency-Deluxe Room-Double MAP</t>
  </si>
  <si>
    <t>A Day Cruise without room Checkin 1pm to Checkout 5:30pm same day ,Veg</t>
  </si>
  <si>
    <t>Symphony Houseboats-A Day Cruise without room Checkin 1pm to Checkout 5:30pm same day ,Veg-Double CP</t>
  </si>
  <si>
    <t>Sunview Beach Resort &amp; Spa by Citrine</t>
  </si>
  <si>
    <t>Varkala</t>
  </si>
  <si>
    <t>KL111</t>
  </si>
  <si>
    <t>Garden View</t>
  </si>
  <si>
    <t>Pool View</t>
  </si>
  <si>
    <t>Ocean View</t>
  </si>
  <si>
    <t>Heritage</t>
  </si>
  <si>
    <t>Royal Seaview</t>
  </si>
  <si>
    <t>Panoramic Vista</t>
  </si>
  <si>
    <t>D Series (No View)</t>
  </si>
  <si>
    <t>KL112</t>
  </si>
  <si>
    <t>KL113</t>
  </si>
  <si>
    <t>KL114</t>
  </si>
  <si>
    <t>KL115</t>
  </si>
  <si>
    <t>KL116</t>
  </si>
  <si>
    <t>KL117</t>
  </si>
  <si>
    <t>Sunview Beach Resort &amp; Spa by Citrine-Garden View-Double CP</t>
  </si>
  <si>
    <t>Sunview Beach Resort &amp; Spa by Citrine-Pool View-Double CP</t>
  </si>
  <si>
    <t>Sunview Beach Resort &amp; Spa by Citrine-Ocean View-Double CP</t>
  </si>
  <si>
    <t>Sunview Beach Resort &amp; Spa by Citrine-Heritage-Double CP</t>
  </si>
  <si>
    <t>Sunview Beach Resort &amp; Spa by Citrine-Royal Seaview-Double CP</t>
  </si>
  <si>
    <t>Sunview Beach Resort &amp; Spa by Citrine-Panoramic Vista-Double CP</t>
  </si>
  <si>
    <t>Sunview Beach Resort &amp; Spa by Citrine-D Series (No View)-Double CP</t>
  </si>
  <si>
    <t>CP</t>
  </si>
  <si>
    <t>Triple Bed Room (03 pax)</t>
  </si>
  <si>
    <t>Quadruple Bed Room (04 pax)</t>
  </si>
  <si>
    <t>KL118</t>
  </si>
  <si>
    <t>KL119</t>
  </si>
  <si>
    <t>KL120</t>
  </si>
  <si>
    <t>Sprise Munnar Resort &amp; Spa</t>
  </si>
  <si>
    <t>KL121</t>
  </si>
  <si>
    <t>Marvellous Mountain View</t>
  </si>
  <si>
    <t>Majestic Ponmudi Dam View</t>
  </si>
  <si>
    <t>Timeless Jacuzzi Suite</t>
  </si>
  <si>
    <t>Fabulous Interconnecting Suite (04 Pax)</t>
  </si>
  <si>
    <t>KL122</t>
  </si>
  <si>
    <t>KL123</t>
  </si>
  <si>
    <t>KL124</t>
  </si>
  <si>
    <t>KL125</t>
  </si>
  <si>
    <t>KL126</t>
  </si>
  <si>
    <t>KL127</t>
  </si>
  <si>
    <t>Venice Iva Residency-Quadruple Bed Room (04 pax)-Double CP</t>
  </si>
  <si>
    <t>Venice Iva Residency-Quadruple Bed Room (04 pax)-Double MAP</t>
  </si>
  <si>
    <t>Venice Iva Residency-Extra Adult passenger-Double CP</t>
  </si>
  <si>
    <t>Venice Iva Residency-Extra Adult passenger-Double MAP</t>
  </si>
  <si>
    <t>Venice Iva Residency-Triple Bed Room (03 pax)-Double CP</t>
  </si>
  <si>
    <t>Venice Iva Residency-Triple Bed Room (03 pax)-Double MAP</t>
  </si>
  <si>
    <t>Venice Iva Residency-Child with bed -Double CP</t>
  </si>
  <si>
    <t>Venice Iva Residency-Child with bed -Double MAP</t>
  </si>
  <si>
    <t>Venice Iva Residency-Child without bed-Double CP</t>
  </si>
  <si>
    <t>Venice Iva Residency-Child without bed-Double MAP</t>
  </si>
  <si>
    <t>Sprise Munnar Resort &amp; Spa-Marvellous Mountain View-Double CP</t>
  </si>
  <si>
    <t>Sprise Munnar Resort &amp; Spa-Marvellous Mountain View-Double MAP</t>
  </si>
  <si>
    <t>Sprise Munnar Resort &amp; Spa-Majestic Ponmudi Dam View-Double CP</t>
  </si>
  <si>
    <t>Sprise Munnar Resort &amp; Spa-Majestic Ponmudi Dam View-Double MAP</t>
  </si>
  <si>
    <t>Sprise Munnar Resort &amp; Spa-Timeless Jacuzzi Suite-Double CP</t>
  </si>
  <si>
    <t>Sprise Munnar Resort &amp; Spa-Timeless Jacuzzi Suite-Double MAP</t>
  </si>
  <si>
    <t>Sprise Munnar Resort &amp; Spa-Fabulous Interconnecting Suite (04 Pax)-Double CP</t>
  </si>
  <si>
    <t>Sprise Munnar Resort &amp; Spa-Fabulous Interconnecting Suite (04 Pax)-Double MAP</t>
  </si>
  <si>
    <t>Sprise Munnar Resort &amp; Spa-Extra Adult passenger-Double CP</t>
  </si>
  <si>
    <t>Sprise Munnar Resort &amp; Spa-Extra Adult passenger-Double MAP</t>
  </si>
  <si>
    <t>Sprise Munnar Resort &amp; Spa-Child with bed -Double CP</t>
  </si>
  <si>
    <t>Sprise Munnar Resort &amp; Spa-Child with bed -Double MAP</t>
  </si>
  <si>
    <t>Sprise Munnar Resort &amp; Spa-Child without bed-Double CP</t>
  </si>
  <si>
    <t>Sprise Munnar Resort &amp; Spa-Child without bed-Double MAP</t>
  </si>
  <si>
    <t>Broad Bean Hotel</t>
  </si>
  <si>
    <t>Standard Room</t>
  </si>
  <si>
    <t>Deluxe Suite</t>
  </si>
  <si>
    <t>Premium Suite</t>
  </si>
  <si>
    <t>KL128</t>
  </si>
  <si>
    <t>KL129</t>
  </si>
  <si>
    <t>KL130</t>
  </si>
  <si>
    <t>KL131</t>
  </si>
  <si>
    <t>KL132</t>
  </si>
  <si>
    <t>KL133</t>
  </si>
  <si>
    <t>KL134</t>
  </si>
  <si>
    <t>KL135</t>
  </si>
  <si>
    <t>Kochi</t>
  </si>
  <si>
    <t>KL136</t>
  </si>
  <si>
    <t>KL137</t>
  </si>
  <si>
    <t>KL138</t>
  </si>
  <si>
    <t>KL139</t>
  </si>
  <si>
    <t>KL140</t>
  </si>
  <si>
    <t>KL141</t>
  </si>
  <si>
    <t>KL142</t>
  </si>
  <si>
    <t>KL143</t>
  </si>
  <si>
    <t>Lagoona Beach Resort</t>
  </si>
  <si>
    <t>Lagoona Standard Sea View</t>
  </si>
  <si>
    <t>Lagoona Standard Non-Sea View</t>
  </si>
  <si>
    <t>Premium Sea View Rooms with Balcony</t>
  </si>
  <si>
    <t>Premium Twin Room (Non Sea View)</t>
  </si>
  <si>
    <t>Premium Sea View Suite Room with Balcony</t>
  </si>
  <si>
    <t>Cottage Villa with Living Area</t>
  </si>
  <si>
    <t>KL144</t>
  </si>
  <si>
    <t>KL145</t>
  </si>
  <si>
    <t>KL146</t>
  </si>
  <si>
    <t>KL147</t>
  </si>
  <si>
    <t>KL148</t>
  </si>
  <si>
    <t>KL149</t>
  </si>
  <si>
    <t>KL150</t>
  </si>
  <si>
    <t>KL151</t>
  </si>
  <si>
    <t>The Breeze Resort -Extra Adult passenger-Double CP</t>
  </si>
  <si>
    <t>Pagoda Plantation Resort  -Valley View Family Room (4 PAX)-Triple EP</t>
  </si>
  <si>
    <t>Pagoda Plantation Resort  -Tea Valley Deluxe-Triple EP</t>
  </si>
  <si>
    <t>The Breeze Resort -Valley View Room (With Balcony)-Double MAP</t>
  </si>
  <si>
    <t>Jungle Park Resort-Jungle View Venus (A/c)-Triple EP</t>
  </si>
  <si>
    <t>Broad Bean Hotel-Standard Room-Double CP</t>
  </si>
  <si>
    <t>Broad Bean Hotel-Standard Room-Double MAP</t>
  </si>
  <si>
    <t>Broad Bean Hotel-Deluxe Room-Double CP</t>
  </si>
  <si>
    <t>Broad Bean Hotel-Deluxe Room-Double MAP</t>
  </si>
  <si>
    <t>Broad Bean Hotel-Executive Room-Double CP</t>
  </si>
  <si>
    <t>Broad Bean Hotel-Executive Room-Double MAP</t>
  </si>
  <si>
    <t>Broad Bean Hotel-Deluxe Suite-Double CP</t>
  </si>
  <si>
    <t>Broad Bean Hotel-Deluxe Suite-Double MAP</t>
  </si>
  <si>
    <t>Broad Bean Hotel-Premium Suite-Double CP</t>
  </si>
  <si>
    <t>Broad Bean Hotel-Premium Suite-Double MAP</t>
  </si>
  <si>
    <t>Broad Bean Hotel-Extra Adult passenger-Double CP</t>
  </si>
  <si>
    <t>Broad Bean Hotel-Extra Adult passenger-Double MAP</t>
  </si>
  <si>
    <t>Broad Bean Hotel-Child with bed -Double CP</t>
  </si>
  <si>
    <t>Broad Bean Hotel-Child with bed -Double MAP</t>
  </si>
  <si>
    <t>Broad Bean Hotel-Child without bed-Double CP</t>
  </si>
  <si>
    <t>Broad Bean Hotel-Child without bed-Double MAP</t>
  </si>
  <si>
    <t>The Breeze Resort -Child with bed -Double CP</t>
  </si>
  <si>
    <t>The Breeze Resort -Child with bed -Double MAP</t>
  </si>
  <si>
    <t>The Breeze Resort -Child without bed-Double CP</t>
  </si>
  <si>
    <t>The Breeze Resort -Child without bed-Double MAP</t>
  </si>
  <si>
    <t>Jeevan Beach Resort-Extra Adult passenger-Double CP</t>
  </si>
  <si>
    <t>Jeevan Beach Resort-Extra Adult passenger-Double MAP</t>
  </si>
  <si>
    <t>Jeevan Beach Resort-Child with bed -Double CP</t>
  </si>
  <si>
    <t>Jeevan Beach Resort-Child with bed -Double MAP</t>
  </si>
  <si>
    <t>Jeevan Beach Resort-Child without bed-Double CP</t>
  </si>
  <si>
    <t>Jeevan Beach Resort-Child without bed-Double MAP</t>
  </si>
  <si>
    <t>Blossom Hill Resort-Child with bed -Double CP</t>
  </si>
  <si>
    <t>Blossom Hill Resort-Child with bed -Double MAP</t>
  </si>
  <si>
    <t>Blossom Hill Resort-Child without bed-Double CP</t>
  </si>
  <si>
    <t>Blossom Hill Resort-Child without bed-Double MAP</t>
  </si>
  <si>
    <t>Lagoona Beach Resort-Lagoona Standard Sea View-Double CP</t>
  </si>
  <si>
    <t>Lagoona Beach Resort-Lagoona Standard Sea View-Double MAP</t>
  </si>
  <si>
    <t>Lagoona Beach Resort-Lagoona Standard Non-Sea View-Double CP</t>
  </si>
  <si>
    <t>Lagoona Beach Resort-Lagoona Standard Non-Sea View-Double MAP</t>
  </si>
  <si>
    <t>Lagoona Beach Resort-Premium Sea View Rooms with Balcony-Double CP</t>
  </si>
  <si>
    <t>Lagoona Beach Resort-Premium Sea View Rooms with Balcony-Double MAP</t>
  </si>
  <si>
    <t>Lagoona Beach Resort-Premium Twin Room (Non Sea View)-Double CP</t>
  </si>
  <si>
    <t>Lagoona Beach Resort-Premium Twin Room (Non Sea View)-Double MAP</t>
  </si>
  <si>
    <t>Lagoona Beach Resort-Premium Sea View Suite Room with Balcony-Double CP</t>
  </si>
  <si>
    <t>Lagoona Beach Resort-Premium Sea View Suite Room with Balcony-Double MAP</t>
  </si>
  <si>
    <t>Lagoona Beach Resort-Cottage Villa with Living Area-Double CP</t>
  </si>
  <si>
    <t>Lagoona Beach Resort-Cottage Villa with Living Area-Double MAP</t>
  </si>
  <si>
    <t>Lagoona Beach Resort-Extra Adult passenger-Double CP</t>
  </si>
  <si>
    <t>Lagoona Beach Resort-Extra Adult passenger-Double MAP</t>
  </si>
  <si>
    <t>Lagoona Beach Resort-Child with bed -Double CP</t>
  </si>
  <si>
    <t>Lagoona Beach Resort-Child with bed -Double MAP</t>
  </si>
  <si>
    <t>Lagoona Beach Resort-Child without bed-Double CP</t>
  </si>
  <si>
    <t>Lagoona Beach Resort-Child without bed-Double MAP</t>
  </si>
  <si>
    <t>Superior Rooms [With Balcony]</t>
  </si>
  <si>
    <t>KL152</t>
  </si>
  <si>
    <t>KL153</t>
  </si>
  <si>
    <t>KL154</t>
  </si>
  <si>
    <t>Napier Heritage Fort</t>
  </si>
  <si>
    <t xml:space="preserve">Dutch Room </t>
  </si>
  <si>
    <t xml:space="preserve">Executive Room </t>
  </si>
  <si>
    <t xml:space="preserve">Premium Room </t>
  </si>
  <si>
    <t xml:space="preserve">Club Room </t>
  </si>
  <si>
    <t>Viceroy Room</t>
  </si>
  <si>
    <t xml:space="preserve">Majestic Luxury [Bathtub Room] </t>
  </si>
  <si>
    <t xml:space="preserve">Royale Luxury Jacuzzi </t>
  </si>
  <si>
    <t>KL155</t>
  </si>
  <si>
    <t>KL156</t>
  </si>
  <si>
    <t>KL157</t>
  </si>
  <si>
    <t>KL158</t>
  </si>
  <si>
    <t>KL159</t>
  </si>
  <si>
    <t>KL160</t>
  </si>
  <si>
    <t>KL161</t>
  </si>
  <si>
    <t>KL162</t>
  </si>
  <si>
    <t>KL163</t>
  </si>
  <si>
    <t>KL164</t>
  </si>
  <si>
    <t>The Whispering Meadows-Executive Room-Double CP</t>
  </si>
  <si>
    <t>The Whispering Meadows-Extra Adult passenger-Double CP</t>
  </si>
  <si>
    <t>The Whispering Meadows-Superior Rooms [With Balcony]-Double CP</t>
  </si>
  <si>
    <t>The Whispering Meadows-Superior Rooms [With Balcony]-Double MAP</t>
  </si>
  <si>
    <t>The Whispering Meadows-Child with bed -Double CP</t>
  </si>
  <si>
    <t>The Whispering Meadows-Child with bed -Double MAP</t>
  </si>
  <si>
    <t>The Whispering Meadows-Child without bed-Double CP</t>
  </si>
  <si>
    <t>The Whispering Meadows-Child without bed-Double MAP</t>
  </si>
  <si>
    <t>Napier Heritage Fort-Dutch Room -Double CP</t>
  </si>
  <si>
    <t>Napier Heritage Fort-Dutch Room -Double MAP</t>
  </si>
  <si>
    <t>Napier Heritage Fort-Executive Room -Double CP</t>
  </si>
  <si>
    <t>Napier Heritage Fort-Executive Room -Double MAP</t>
  </si>
  <si>
    <t>Napier Heritage Fort-Premium Room -Double CP</t>
  </si>
  <si>
    <t>Napier Heritage Fort-Premium Room -Double MAP</t>
  </si>
  <si>
    <t>Napier Heritage Fort-Club Room -Double CP</t>
  </si>
  <si>
    <t>Napier Heritage Fort-Club Room -Double MAP</t>
  </si>
  <si>
    <t>Napier Heritage Fort-Viceroy Room-Double CP</t>
  </si>
  <si>
    <t>Napier Heritage Fort-Viceroy Room-Double MAP</t>
  </si>
  <si>
    <t>Napier Heritage Fort-Majestic Luxury [Bathtub Room] -Double CP</t>
  </si>
  <si>
    <t>Napier Heritage Fort-Majestic Luxury [Bathtub Room] -Double MAP</t>
  </si>
  <si>
    <t>Napier Heritage Fort-Royale Luxury Jacuzzi -Double CP</t>
  </si>
  <si>
    <t>Napier Heritage Fort-Royale Luxury Jacuzzi -Double MAP</t>
  </si>
  <si>
    <t>Napier Heritage Fort-Extra Adult passenger-Double CP</t>
  </si>
  <si>
    <t>Napier Heritage Fort-Extra Adult passenger-Double MAP</t>
  </si>
  <si>
    <t>Napier Heritage Fort-Child with bed -Double CP</t>
  </si>
  <si>
    <t>Napier Heritage Fort-Child with bed -Double MAP</t>
  </si>
  <si>
    <t>Napier Heritage Fort-Child without bed-Double CP</t>
  </si>
  <si>
    <t>Napier Heritage Fort-Child without bed-Double MAP</t>
  </si>
  <si>
    <t>Trium Resort &amp; Houseboats</t>
  </si>
  <si>
    <t>Standard Room Non AC</t>
  </si>
  <si>
    <t>Standard Room AC</t>
  </si>
  <si>
    <t>Standard Twin Bed Room AC</t>
  </si>
  <si>
    <t>Deluxe Room AC</t>
  </si>
  <si>
    <t>KL165</t>
  </si>
  <si>
    <t>KL166</t>
  </si>
  <si>
    <t>KL167</t>
  </si>
  <si>
    <t>KL168</t>
  </si>
  <si>
    <t>KL169</t>
  </si>
  <si>
    <t>KL170</t>
  </si>
  <si>
    <t>KL171</t>
  </si>
  <si>
    <t>KL172</t>
  </si>
  <si>
    <t>KL173</t>
  </si>
  <si>
    <t>KL174</t>
  </si>
  <si>
    <t>Day Cruise 12 PM-5PM</t>
  </si>
  <si>
    <t>Day Nigt Cruise 12PM-9AM</t>
  </si>
  <si>
    <t>Trium Deluxe Houseboats</t>
  </si>
  <si>
    <t>Trium Preimum Houseboats</t>
  </si>
  <si>
    <t>Trium Resort &amp; Houseboats-Standard Room Non AC-Double CP</t>
  </si>
  <si>
    <t>Trium Resort &amp; Houseboats-Standard Room Non AC-Double MAP</t>
  </si>
  <si>
    <t>Trium Resort &amp; Houseboats-Standard Room AC-Double CP</t>
  </si>
  <si>
    <t>Trium Resort &amp; Houseboats-Standard Room AC-Double MAP</t>
  </si>
  <si>
    <t>Trium Resort &amp; Houseboats-Standard Twin Bed Room AC-Double CP</t>
  </si>
  <si>
    <t>Trium Resort &amp; Houseboats-Standard Twin Bed Room AC-Double MAP</t>
  </si>
  <si>
    <t>Trium Resort &amp; Houseboats-Deluxe Room AC-Double CP</t>
  </si>
  <si>
    <t>Trium Resort &amp; Houseboats-Deluxe Room AC-Double MAP</t>
  </si>
  <si>
    <t>Trium Resort &amp; Houseboats-Suite Room-Double CP</t>
  </si>
  <si>
    <t>Trium Resort &amp; Houseboats-Suite Room-Double MAP</t>
  </si>
  <si>
    <t>Trium Resort &amp; Houseboats-Extra Adult passenger-Double CP</t>
  </si>
  <si>
    <t>Trium Resort &amp; Houseboats-Extra Adult passenger-Double MAP</t>
  </si>
  <si>
    <t>Trium Deluxe Houseboats-Day Cruise 12 PM-5PM-Double CP</t>
  </si>
  <si>
    <t>Trium Deluxe Houseboats-Day Cruise 12 PM-5PM-Double MAP</t>
  </si>
  <si>
    <t>Trium Deluxe Houseboats-Day Nigt Cruise 12PM-9AM-Double CP</t>
  </si>
  <si>
    <t>Trium Deluxe Houseboats-Day Nigt Cruise 12PM-9AM-Double MAP</t>
  </si>
  <si>
    <t>Trium Preimum Houseboats-Day Cruise 12 PM-5PM-Double CP</t>
  </si>
  <si>
    <t>Trium Preimum Houseboats-Day Cruise 12 PM-5PM-Double MAP</t>
  </si>
  <si>
    <t>Trium Preimum Houseboats-Day Nigt Cruise 12PM-9AM-Double CP</t>
  </si>
  <si>
    <t>Trium Preimum Houseboats-Day Nigt Cruise 12PM-9AM-Double MAP</t>
  </si>
  <si>
    <t>KL175</t>
  </si>
  <si>
    <t>Ocean Bay Ayurvedic Beach Resort</t>
  </si>
  <si>
    <t>DLX AC DBL Palm View</t>
  </si>
  <si>
    <t>DLX AC DBL</t>
  </si>
  <si>
    <t>KL176</t>
  </si>
  <si>
    <t>KL177</t>
  </si>
  <si>
    <t>KL178</t>
  </si>
  <si>
    <t>KL179</t>
  </si>
  <si>
    <t>Ocean Bay Ayurvedic Beach Resort-DLX AC DBL Palm View-Double CP</t>
  </si>
  <si>
    <t>Ocean Bay Ayurvedic Beach Resort-DLX AC DBL Palm View-Double MAP</t>
  </si>
  <si>
    <t>Ocean Bay Ayurvedic Beach Resort-DLX AC DBL-Double CP</t>
  </si>
  <si>
    <t>Ocean Bay Ayurvedic Beach Resort-DLX AC DBL-Double MAP</t>
  </si>
  <si>
    <t>Ocean Bay Ayurvedic Beach Resort-Extra Adult passenger-Double CP</t>
  </si>
  <si>
    <t>Ocean Bay Ayurvedic Beach Resort-Extra Adult passenger-Double MAP</t>
  </si>
  <si>
    <t>Ocean Bay Ayurvedic Beach Resort-Child with bed -Double CP</t>
  </si>
  <si>
    <t>Ocean Bay Ayurvedic Beach Resort-Child with bed -Double MAP</t>
  </si>
  <si>
    <t>Ocean Bay Ayurvedic Beach Resort-Child without bed-Double CP</t>
  </si>
  <si>
    <t>Ocean Bay Ayurvedic Beach Resort-Child without bed-Double MAP</t>
  </si>
  <si>
    <t>Aadisaktthi Resort</t>
  </si>
  <si>
    <t>Deluxe AC</t>
  </si>
  <si>
    <t>Club Deluxe Garden view</t>
  </si>
  <si>
    <t>Super Deluxe AC</t>
  </si>
  <si>
    <t>Premium AC</t>
  </si>
  <si>
    <t>Super Deluxe Family Room (4 Pax)</t>
  </si>
  <si>
    <t>The Pool Club</t>
  </si>
  <si>
    <t>KL180</t>
  </si>
  <si>
    <t>KL181</t>
  </si>
  <si>
    <t>KL182</t>
  </si>
  <si>
    <t>KL183</t>
  </si>
  <si>
    <t>KL184</t>
  </si>
  <si>
    <t>KL185</t>
  </si>
  <si>
    <t>KL186</t>
  </si>
  <si>
    <t>KL187</t>
  </si>
  <si>
    <t>KL188</t>
  </si>
  <si>
    <t>Miraaya Sundara Island Villa</t>
  </si>
  <si>
    <t>Premium Villa</t>
  </si>
  <si>
    <t>Jacuzzi Suite Villa</t>
  </si>
  <si>
    <t>KL189</t>
  </si>
  <si>
    <t>KL190</t>
  </si>
  <si>
    <t>KL191</t>
  </si>
  <si>
    <t>KL192</t>
  </si>
  <si>
    <t>KL193</t>
  </si>
  <si>
    <t>Aadisaktthi Resort-Deluxe AC-Double CP</t>
  </si>
  <si>
    <t>Aadisaktthi Resort-Deluxe AC-Double MAP</t>
  </si>
  <si>
    <t>Aadisaktthi Resort-Club Deluxe Garden view-Double CP</t>
  </si>
  <si>
    <t>Aadisaktthi Resort-Club Deluxe Garden view-Double MAP</t>
  </si>
  <si>
    <t>Aadisaktthi Resort-Super Deluxe AC-Double CP</t>
  </si>
  <si>
    <t>Aadisaktthi Resort-Super Deluxe AC-Double MAP</t>
  </si>
  <si>
    <t>Aadisaktthi Resort-Premium AC-Double CP</t>
  </si>
  <si>
    <t>Aadisaktthi Resort-Premium AC-Double MAP</t>
  </si>
  <si>
    <t>Aadisaktthi Resort-Super Deluxe Family Room (4 Pax)-Double CP</t>
  </si>
  <si>
    <t>Aadisaktthi Resort-Super Deluxe Family Room (4 Pax)-Double MAP</t>
  </si>
  <si>
    <t>Aadisaktthi Resort-The Pool Club-Double CP</t>
  </si>
  <si>
    <t>Aadisaktthi Resort-The Pool Club-Double MAP</t>
  </si>
  <si>
    <t>Aadisaktthi Resort-Extra Adult passenger-Double CP</t>
  </si>
  <si>
    <t>Aadisaktthi Resort-Extra Adult passenger-Double MAP</t>
  </si>
  <si>
    <t>Aadisaktthi Resort-Child with bed -Double CP</t>
  </si>
  <si>
    <t>Aadisaktthi Resort-Child with bed -Double MAP</t>
  </si>
  <si>
    <t>Aadisaktthi Resort-Child without bed-Double CP</t>
  </si>
  <si>
    <t>Aadisaktthi Resort-Child without bed-Double MAP</t>
  </si>
  <si>
    <t>Miraaya Sundara Island Villa-Premium Villa-Double CP</t>
  </si>
  <si>
    <t>Miraaya Sundara Island Villa-Premium Villa-Double MAP</t>
  </si>
  <si>
    <t>Miraaya Sundara Island Villa-Jacuzzi Suite Villa-Double CP</t>
  </si>
  <si>
    <t>Miraaya Sundara Island Villa-Jacuzzi Suite Villa-Double MAP</t>
  </si>
  <si>
    <t>Miraaya Sundara Island Villa-Extra Adult passenger-Double CP</t>
  </si>
  <si>
    <t>Miraaya Sundara Island Villa-Extra Adult passenger-Double MAP</t>
  </si>
  <si>
    <t>Miraaya Sundara Island Villa-Child with bed -Double CP</t>
  </si>
  <si>
    <t>Miraaya Sundara Island Villa-Child with bed -Double MAP</t>
  </si>
  <si>
    <t>Miraaya Sundara Island Villa-Child without bed-Double CP</t>
  </si>
  <si>
    <t>Miraaya Sundara Island Villa-Child without bed-Double MAP</t>
  </si>
  <si>
    <t>Atrium room</t>
  </si>
  <si>
    <t>Pool view Room</t>
  </si>
  <si>
    <t>Uday Samudra Leisure Beach Hotel-Atrium room-Double CP</t>
  </si>
  <si>
    <t>Uday Samudra Leisure Beach Hotel-Atrium room-Double MAP</t>
  </si>
  <si>
    <t>Uday Samudra Leisure Beach Hotel-Atrium room-Double AP</t>
  </si>
  <si>
    <t>Uday Samudra Leisure Beach Hotel-Pool view Room-Double CP</t>
  </si>
  <si>
    <t>Uday Samudra Leisure Beach Hotel-Pool view Room-Double MAP</t>
  </si>
  <si>
    <t>Uday Samudra Leisure Beach Hotel-Pool view Room-Double AP</t>
  </si>
  <si>
    <t>Premium Sea view Room</t>
  </si>
  <si>
    <t>Lounge Suite</t>
  </si>
  <si>
    <t>Lounge Seaview Suite</t>
  </si>
  <si>
    <t>Ocean Breeze Suite</t>
  </si>
  <si>
    <t>Grand Family Suite</t>
  </si>
  <si>
    <t>Child with bed</t>
  </si>
  <si>
    <t>Uday Samudra Beach Hotel</t>
  </si>
  <si>
    <t>Uday Samudra Beach Hotel-Standard Room-Double CP</t>
  </si>
  <si>
    <t>Uday Samudra Beach Hotel-Standard Room-Double MAP</t>
  </si>
  <si>
    <t>Uday Samudra Beach Hotel-Standard Room-Double AP</t>
  </si>
  <si>
    <t>Uday Samudra Leisure Beach Hotel-Premium Sea view Room-Double CP</t>
  </si>
  <si>
    <t>Uday Samudra Leisure Beach Hotel-Premium Sea view Room-Double MAP</t>
  </si>
  <si>
    <t>Uday Samudra Leisure Beach Hotel-Premium Sea view Room-Double AP</t>
  </si>
  <si>
    <t>Uday Samudra Leisure Beach Hotel-Lounge Suite-Double CP</t>
  </si>
  <si>
    <t>Uday Samudra Leisure Beach Hotel-Lounge Suite-Double MAP</t>
  </si>
  <si>
    <t>Uday Samudra Leisure Beach Hotel-Lounge Suite-Double AP</t>
  </si>
  <si>
    <t>Uday Samudra Leisure Beach Hotel-Lounge Seaview Suite-Double CP</t>
  </si>
  <si>
    <t>Uday Samudra Leisure Beach Hotel-Lounge Seaview Suite-Double MAP</t>
  </si>
  <si>
    <t>Uday Samudra Leisure Beach Hotel-Lounge Seaview Suite-Double AP</t>
  </si>
  <si>
    <t>Uday Samudra Leisure Beach Hotel-Ocean Breeze Suite-Double CP</t>
  </si>
  <si>
    <t>Uday Samudra Leisure Beach Hotel-Ocean Breeze Suite-Double MAP</t>
  </si>
  <si>
    <t>Uday Samudra Leisure Beach Hotel-Ocean Breeze Suite-Double AP</t>
  </si>
  <si>
    <t>Uday Samudra Leisure Beach Hotel-Grand Family Suite-Double CP</t>
  </si>
  <si>
    <t>Uday Samudra Leisure Beach Hotel-Grand Family Suite-Double MAP</t>
  </si>
  <si>
    <t>Uday Samudra Leisure Beach Hotel-Grand Family Suite-Double AP</t>
  </si>
  <si>
    <t>Uday Samudra Leisure Beach Hotel-Child with bed-Double CP</t>
  </si>
  <si>
    <t>Uday Samudra Leisure Beach Hotel-Child with bed-Double MAP</t>
  </si>
  <si>
    <t>Uday Samudra Leisure Beach Hotel-Child with bed-Double AP</t>
  </si>
  <si>
    <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</si>
</sst>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14009]dddd\,\ d\ mmmm\,\ yyyy;@"/>
  </numFmts>
  <fonts count="34" x14ac:knownFonts="1">
    <font>
      <sz val="11"/>
      <color theme="1"/>
      <name val="Aptos Narrow"/>
      <family val="2"/>
      <scheme val="minor"/>
    </font>
    <font>
      <b/>
      <sz val="11"/>
      <color theme="1"/>
      <name val="Aptos Narrow"/>
      <family val="2"/>
      <scheme val="minor"/>
    </font>
    <font>
      <sz val="8"/>
      <name val="Aptos Narrow"/>
      <family val="2"/>
      <scheme val="minor"/>
    </font>
    <font>
      <sz val="11"/>
      <color theme="0"/>
      <name val="Cambria"/>
      <family val="1"/>
    </font>
    <font>
      <b/>
      <sz val="24"/>
      <color theme="0"/>
      <name val="Cambria"/>
      <family val="1"/>
    </font>
    <font>
      <sz val="24"/>
      <color rgb="FF089DDD"/>
      <name val="Cambria"/>
      <family val="1"/>
    </font>
    <font>
      <b/>
      <sz val="18"/>
      <color theme="1"/>
      <name val="Cambria"/>
      <family val="1"/>
    </font>
    <font>
      <sz val="11"/>
      <color theme="1"/>
      <name val="Cambria"/>
      <family val="1"/>
    </font>
    <font>
      <u/>
      <sz val="11"/>
      <color theme="10"/>
      <name val="Aptos Narrow"/>
      <family val="2"/>
      <scheme val="minor"/>
    </font>
    <font>
      <b/>
      <sz val="18"/>
      <color rgb="FFFFFFFF"/>
      <name val="Cambria"/>
      <family val="1"/>
    </font>
    <font>
      <b/>
      <sz val="10"/>
      <color rgb="FF222222"/>
      <name val="Cambria"/>
      <family val="1"/>
    </font>
    <font>
      <sz val="11"/>
      <color rgb="FF222222"/>
      <name val="Cambria"/>
      <family val="1"/>
    </font>
    <font>
      <sz val="10"/>
      <color rgb="FF222222"/>
      <name val="Cambria"/>
      <family val="1"/>
    </font>
    <font>
      <b/>
      <sz val="11"/>
      <color rgb="FF222222"/>
      <name val="Cambria"/>
      <family val="1"/>
    </font>
    <font>
      <sz val="10"/>
      <color theme="0"/>
      <name val="Cambria"/>
      <family val="1"/>
    </font>
    <font>
      <b/>
      <sz val="18"/>
      <color theme="0"/>
      <name val="Cambria"/>
      <family val="1"/>
    </font>
    <font>
      <b/>
      <sz val="10"/>
      <color rgb="FFFFFFFF"/>
      <name val="Cambria"/>
      <family val="1"/>
    </font>
    <font>
      <b/>
      <sz val="10"/>
      <color theme="1"/>
      <name val="Cambria"/>
      <family val="1"/>
    </font>
    <font>
      <b/>
      <sz val="10"/>
      <color theme="0"/>
      <name val="Cambria"/>
      <family val="1"/>
    </font>
    <font>
      <sz val="15"/>
      <color rgb="FF089DDD"/>
      <name val="Cambria"/>
      <family val="1"/>
    </font>
    <font>
      <sz val="11"/>
      <color rgb="FFFFFFFF"/>
      <name val="Cambria"/>
      <family val="1"/>
    </font>
    <font>
      <b/>
      <sz val="11"/>
      <color theme="0"/>
      <name val="Cambria"/>
      <family val="1"/>
    </font>
    <font>
      <b/>
      <sz val="11"/>
      <color theme="1"/>
      <name val="Cambria"/>
      <family val="1"/>
    </font>
    <font>
      <b/>
      <sz val="18"/>
      <color theme="0"/>
      <name val="Times New Roman"/>
      <family val="1"/>
    </font>
    <font>
      <sz val="11"/>
      <color rgb="FF000000"/>
      <name val="Cambria"/>
      <family val="1"/>
    </font>
    <font>
      <b/>
      <sz val="14"/>
      <color theme="1"/>
      <name val="Cambria"/>
      <family val="1"/>
    </font>
    <font>
      <b/>
      <sz val="16"/>
      <color theme="0"/>
      <name val="Cambria"/>
      <family val="1"/>
    </font>
    <font>
      <b/>
      <sz val="16"/>
      <color rgb="FF089DDD"/>
      <name val="Cambria"/>
      <family val="1"/>
    </font>
    <font>
      <b/>
      <sz val="12.5"/>
      <color theme="1"/>
      <name val="Cambria"/>
      <family val="1"/>
    </font>
    <font>
      <b/>
      <sz val="14"/>
      <color theme="1"/>
      <name val="Arial"/>
      <family val="2"/>
    </font>
    <font>
      <b/>
      <sz val="14"/>
      <color theme="0"/>
      <name val="Arial"/>
      <family val="2"/>
    </font>
    <font>
      <sz val="14"/>
      <color theme="1"/>
      <name val="Arial"/>
      <family val="2"/>
    </font>
    <font>
      <sz val="10"/>
      <color theme="1"/>
      <name val="Maiandra GD"/>
      <family val="2"/>
    </font>
    <font>
      <sz val="11"/>
      <name val="Cambria"/>
      <family val="1"/>
    </font>
  </fonts>
  <fills count="33">
    <fill>
      <patternFill patternType="none"/>
    </fill>
    <fill>
      <patternFill patternType="gray125"/>
    </fill>
    <fill>
      <patternFill patternType="solid">
        <fgColor theme="1" tint="0.34998626667073579"/>
        <bgColor indexed="64"/>
      </patternFill>
    </fill>
    <fill>
      <patternFill patternType="solid">
        <fgColor rgb="FF002060"/>
        <bgColor indexed="64"/>
      </patternFill>
    </fill>
    <fill>
      <patternFill patternType="solid">
        <fgColor theme="0"/>
        <bgColor indexed="64"/>
      </patternFill>
    </fill>
    <fill>
      <patternFill patternType="solid">
        <fgColor rgb="FF7030A0"/>
        <bgColor indexed="64"/>
      </patternFill>
    </fill>
    <fill>
      <patternFill patternType="solid">
        <fgColor theme="0" tint="-4.9989318521683403E-2"/>
        <bgColor indexed="64"/>
      </patternFill>
    </fill>
    <fill>
      <patternFill patternType="solid">
        <fgColor rgb="FFF9F9F9"/>
        <bgColor indexed="64"/>
      </patternFill>
    </fill>
    <fill>
      <patternFill patternType="solid">
        <fgColor theme="5"/>
        <bgColor indexed="64"/>
      </patternFill>
    </fill>
    <fill>
      <patternFill patternType="solid">
        <fgColor theme="4" tint="0.39997558519241921"/>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rgb="FFACFFFF"/>
        <bgColor indexed="64"/>
      </patternFill>
    </fill>
    <fill>
      <patternFill patternType="solid">
        <fgColor rgb="FF00B050"/>
        <bgColor indexed="64"/>
      </patternFill>
    </fill>
    <fill>
      <patternFill patternType="solid">
        <fgColor theme="7" tint="0.59999389629810485"/>
        <bgColor indexed="64"/>
      </patternFill>
    </fill>
    <fill>
      <patternFill patternType="solid">
        <fgColor rgb="FFFCD5B4"/>
        <bgColor rgb="FFFCD5B4"/>
      </patternFill>
    </fill>
    <fill>
      <patternFill patternType="solid">
        <fgColor rgb="FF91EFF7"/>
        <bgColor rgb="FF91EFF7"/>
      </patternFill>
    </fill>
    <fill>
      <patternFill patternType="solid">
        <fgColor rgb="FFF9CB9C"/>
        <bgColor rgb="FFF9CB9C"/>
      </patternFill>
    </fill>
    <fill>
      <patternFill patternType="solid">
        <fgColor theme="3" tint="0.499984740745262"/>
        <bgColor rgb="FFFCD5B4"/>
      </patternFill>
    </fill>
    <fill>
      <patternFill patternType="solid">
        <fgColor rgb="FFEAD1DC"/>
        <bgColor indexed="64"/>
      </patternFill>
    </fill>
    <fill>
      <patternFill patternType="solid">
        <fgColor rgb="FFD9D2E9"/>
        <bgColor indexed="64"/>
      </patternFill>
    </fill>
    <fill>
      <patternFill patternType="solid">
        <fgColor rgb="FFCFE2F3"/>
        <bgColor indexed="64"/>
      </patternFill>
    </fill>
    <fill>
      <patternFill patternType="solid">
        <fgColor rgb="FFC9DAF8"/>
        <bgColor indexed="64"/>
      </patternFill>
    </fill>
    <fill>
      <patternFill patternType="solid">
        <fgColor rgb="FFD0E0E3"/>
        <bgColor indexed="64"/>
      </patternFill>
    </fill>
    <fill>
      <patternFill patternType="solid">
        <fgColor rgb="FFD9EAD3"/>
        <bgColor indexed="64"/>
      </patternFill>
    </fill>
    <fill>
      <patternFill patternType="solid">
        <fgColor rgb="FFFFF2CC"/>
        <bgColor indexed="64"/>
      </patternFill>
    </fill>
    <fill>
      <patternFill patternType="solid">
        <fgColor rgb="FFF4CCCC"/>
        <bgColor indexed="64"/>
      </patternFill>
    </fill>
    <fill>
      <patternFill patternType="solid">
        <fgColor rgb="FF6FA8DC"/>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281">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1" fillId="0" borderId="0" xfId="0" applyFont="1"/>
    <xf numFmtId="0" fontId="3" fillId="0" borderId="0" xfId="0" applyFont="1" applyAlignment="1">
      <alignment vertical="center" wrapText="1"/>
    </xf>
    <xf numFmtId="0" fontId="1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0" xfId="0" applyFont="1" applyBorder="1" applyAlignment="1">
      <alignment horizontal="center" vertical="center" wrapText="1"/>
    </xf>
    <xf numFmtId="0" fontId="14" fillId="5" borderId="1" xfId="0" applyFont="1" applyFill="1" applyBorder="1" applyAlignment="1">
      <alignment horizontal="center" vertical="center" wrapText="1"/>
    </xf>
    <xf numFmtId="0" fontId="17" fillId="6" borderId="1" xfId="1" applyFont="1" applyFill="1" applyBorder="1" applyAlignment="1">
      <alignment horizontal="center" vertical="center" wrapText="1"/>
    </xf>
    <xf numFmtId="15" fontId="12" fillId="7"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0" fillId="0" borderId="5" xfId="0" applyBorder="1" applyAlignment="1">
      <alignment horizontal="center" vertical="center"/>
    </xf>
    <xf numFmtId="0" fontId="1" fillId="0" borderId="1" xfId="0" applyFont="1" applyBorder="1"/>
    <xf numFmtId="0" fontId="0" fillId="0" borderId="1" xfId="0" applyBorder="1"/>
    <xf numFmtId="0" fontId="1" fillId="11" borderId="4" xfId="0" applyFont="1" applyFill="1" applyBorder="1" applyAlignment="1">
      <alignment horizontal="center" vertical="center"/>
    </xf>
    <xf numFmtId="0" fontId="1" fillId="11" borderId="6" xfId="0" applyFont="1" applyFill="1" applyBorder="1" applyAlignment="1">
      <alignment horizontal="center" vertical="center"/>
    </xf>
    <xf numFmtId="0" fontId="17" fillId="9" borderId="5"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 fillId="15" borderId="1" xfId="0" applyFont="1" applyFill="1" applyBorder="1" applyAlignment="1">
      <alignment horizontal="center" vertical="center"/>
    </xf>
    <xf numFmtId="0" fontId="7" fillId="0" borderId="0" xfId="0" applyFont="1"/>
    <xf numFmtId="0" fontId="7" fillId="0" borderId="0" xfId="0" applyFont="1" applyAlignment="1">
      <alignment wrapText="1"/>
    </xf>
    <xf numFmtId="8" fontId="7" fillId="0" borderId="0" xfId="0" applyNumberFormat="1" applyFont="1"/>
    <xf numFmtId="0" fontId="14" fillId="5" borderId="2" xfId="0" applyFont="1" applyFill="1" applyBorder="1" applyAlignment="1">
      <alignment horizontal="center" vertical="center" wrapText="1"/>
    </xf>
    <xf numFmtId="0" fontId="17" fillId="9" borderId="5" xfId="0" applyFont="1" applyFill="1" applyBorder="1" applyAlignment="1">
      <alignment horizontal="center" vertical="center"/>
    </xf>
    <xf numFmtId="0" fontId="17" fillId="12" borderId="1" xfId="0" applyFont="1" applyFill="1" applyBorder="1" applyAlignment="1">
      <alignment horizontal="center" vertical="center"/>
    </xf>
    <xf numFmtId="0" fontId="16" fillId="5" borderId="35"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22" fillId="0" borderId="1" xfId="0" applyFont="1" applyBorder="1" applyAlignment="1">
      <alignment horizontal="center" vertical="center" wrapText="1"/>
    </xf>
    <xf numFmtId="0" fontId="0" fillId="0" borderId="0" xfId="0" applyAlignment="1">
      <alignment vertical="center"/>
    </xf>
    <xf numFmtId="0" fontId="7" fillId="0" borderId="30" xfId="0" applyFont="1" applyBorder="1" applyAlignment="1">
      <alignment horizontal="center" vertical="center"/>
    </xf>
    <xf numFmtId="0" fontId="0" fillId="0" borderId="0" xfId="0" applyAlignment="1">
      <alignment horizontal="center" vertical="center"/>
    </xf>
    <xf numFmtId="0" fontId="0" fillId="0" borderId="0" xfId="0" applyAlignment="1">
      <alignment horizontal="right"/>
    </xf>
    <xf numFmtId="0" fontId="14" fillId="5" borderId="0" xfId="0" applyFont="1" applyFill="1" applyAlignment="1">
      <alignment horizontal="center" vertical="center" wrapText="1"/>
    </xf>
    <xf numFmtId="0" fontId="7" fillId="0" borderId="1" xfId="0" applyFont="1" applyBorder="1" applyAlignment="1">
      <alignment horizontal="center" vertical="center" wrapText="1"/>
    </xf>
    <xf numFmtId="0" fontId="7" fillId="0" borderId="30" xfId="0" applyFont="1" applyBorder="1" applyAlignment="1">
      <alignment horizontal="center" vertical="center" wrapText="1"/>
    </xf>
    <xf numFmtId="0" fontId="15" fillId="3" borderId="34"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29" fillId="0" borderId="1" xfId="0" applyFont="1" applyBorder="1" applyAlignment="1">
      <alignment horizontal="center" vertical="center"/>
    </xf>
    <xf numFmtId="0" fontId="29" fillId="21" borderId="1" xfId="0" applyFont="1" applyFill="1" applyBorder="1" applyAlignment="1">
      <alignment horizontal="center" vertical="center"/>
    </xf>
    <xf numFmtId="0" fontId="29" fillId="22" borderId="1" xfId="0" applyFont="1" applyFill="1" applyBorder="1" applyAlignment="1">
      <alignment horizontal="center" vertical="center"/>
    </xf>
    <xf numFmtId="0" fontId="30" fillId="23" borderId="1" xfId="0" applyFont="1" applyFill="1" applyBorder="1" applyAlignment="1">
      <alignment horizontal="center" vertical="center"/>
    </xf>
    <xf numFmtId="0" fontId="0" fillId="0" borderId="1" xfId="0" applyBorder="1" applyAlignment="1">
      <alignment wrapText="1"/>
    </xf>
    <xf numFmtId="0" fontId="0" fillId="0" borderId="8" xfId="0" applyBorder="1" applyAlignment="1">
      <alignment horizontal="center" vertical="center"/>
    </xf>
    <xf numFmtId="0" fontId="7" fillId="0" borderId="11" xfId="0" applyFont="1" applyBorder="1" applyAlignment="1">
      <alignment horizontal="left" vertical="top" wrapText="1"/>
    </xf>
    <xf numFmtId="0" fontId="17" fillId="11" borderId="5" xfId="0" applyFont="1" applyFill="1" applyBorder="1" applyAlignment="1">
      <alignment horizontal="center" vertical="center" wrapText="1"/>
    </xf>
    <xf numFmtId="0" fontId="0" fillId="0" borderId="6" xfId="0" applyBorder="1"/>
    <xf numFmtId="0" fontId="0" fillId="0" borderId="13" xfId="0" applyBorder="1"/>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9" fontId="7" fillId="0" borderId="3" xfId="0" applyNumberFormat="1" applyFont="1" applyBorder="1"/>
    <xf numFmtId="0" fontId="0" fillId="0" borderId="3" xfId="0" applyBorder="1"/>
    <xf numFmtId="0" fontId="29" fillId="0" borderId="40" xfId="0" applyFont="1" applyBorder="1" applyAlignment="1">
      <alignment horizontal="center" vertical="center" wrapText="1"/>
    </xf>
    <xf numFmtId="0" fontId="29" fillId="0" borderId="39" xfId="0" applyFont="1" applyBorder="1" applyAlignment="1">
      <alignment horizontal="center" vertical="center"/>
    </xf>
    <xf numFmtId="0" fontId="29" fillId="0" borderId="40" xfId="0" applyFont="1" applyBorder="1" applyAlignment="1">
      <alignment horizontal="center" vertical="center"/>
    </xf>
    <xf numFmtId="0" fontId="29" fillId="24" borderId="41" xfId="0" applyFont="1" applyFill="1" applyBorder="1" applyAlignment="1">
      <alignment horizontal="center" vertical="center"/>
    </xf>
    <xf numFmtId="0" fontId="31" fillId="24" borderId="42" xfId="0" applyFont="1" applyFill="1" applyBorder="1" applyAlignment="1">
      <alignment horizontal="center" vertical="center"/>
    </xf>
    <xf numFmtId="0" fontId="29" fillId="25" borderId="41" xfId="0" applyFont="1" applyFill="1" applyBorder="1" applyAlignment="1">
      <alignment horizontal="center" vertical="center"/>
    </xf>
    <xf numFmtId="0" fontId="31" fillId="25" borderId="42" xfId="0" applyFont="1" applyFill="1" applyBorder="1" applyAlignment="1">
      <alignment horizontal="center" vertical="center"/>
    </xf>
    <xf numFmtId="0" fontId="29" fillId="26" borderId="41" xfId="0" applyFont="1" applyFill="1" applyBorder="1" applyAlignment="1">
      <alignment horizontal="center" vertical="center"/>
    </xf>
    <xf numFmtId="0" fontId="31" fillId="26" borderId="42" xfId="0" applyFont="1" applyFill="1" applyBorder="1" applyAlignment="1">
      <alignment horizontal="center" vertical="center"/>
    </xf>
    <xf numFmtId="0" fontId="29" fillId="27" borderId="41" xfId="0" applyFont="1" applyFill="1" applyBorder="1" applyAlignment="1">
      <alignment horizontal="center" vertical="center"/>
    </xf>
    <xf numFmtId="0" fontId="31" fillId="27" borderId="42" xfId="0" applyFont="1" applyFill="1" applyBorder="1" applyAlignment="1">
      <alignment horizontal="center" vertical="center"/>
    </xf>
    <xf numFmtId="0" fontId="29" fillId="28" borderId="41" xfId="0" applyFont="1" applyFill="1" applyBorder="1" applyAlignment="1">
      <alignment horizontal="center" vertical="center"/>
    </xf>
    <xf numFmtId="0" fontId="31" fillId="28" borderId="42" xfId="0" applyFont="1" applyFill="1" applyBorder="1" applyAlignment="1">
      <alignment horizontal="center" vertical="center"/>
    </xf>
    <xf numFmtId="0" fontId="29" fillId="29" borderId="41" xfId="0" applyFont="1" applyFill="1" applyBorder="1" applyAlignment="1">
      <alignment horizontal="center" vertical="center"/>
    </xf>
    <xf numFmtId="0" fontId="31" fillId="29" borderId="42" xfId="0" applyFont="1" applyFill="1" applyBorder="1" applyAlignment="1">
      <alignment horizontal="center" vertical="center"/>
    </xf>
    <xf numFmtId="0" fontId="29" fillId="30" borderId="41" xfId="0" applyFont="1" applyFill="1" applyBorder="1" applyAlignment="1">
      <alignment horizontal="center" vertical="center"/>
    </xf>
    <xf numFmtId="0" fontId="31" fillId="30" borderId="42" xfId="0" applyFont="1" applyFill="1" applyBorder="1" applyAlignment="1">
      <alignment horizontal="center" vertical="center"/>
    </xf>
    <xf numFmtId="0" fontId="29" fillId="31" borderId="41" xfId="0" applyFont="1" applyFill="1" applyBorder="1" applyAlignment="1">
      <alignment horizontal="center" vertical="center"/>
    </xf>
    <xf numFmtId="0" fontId="31" fillId="31" borderId="42" xfId="0" applyFont="1" applyFill="1" applyBorder="1" applyAlignment="1">
      <alignment horizontal="center" vertical="center"/>
    </xf>
    <xf numFmtId="0" fontId="29" fillId="32" borderId="41" xfId="0" applyFont="1" applyFill="1" applyBorder="1" applyAlignment="1">
      <alignment horizontal="center" vertical="center"/>
    </xf>
    <xf numFmtId="0" fontId="31" fillId="32" borderId="42" xfId="0" applyFont="1" applyFill="1" applyBorder="1" applyAlignment="1">
      <alignment horizontal="center" vertical="center"/>
    </xf>
    <xf numFmtId="0" fontId="17" fillId="9" borderId="31" xfId="0" applyFont="1" applyFill="1" applyBorder="1" applyAlignment="1">
      <alignment horizontal="center" vertical="center" wrapText="1"/>
    </xf>
    <xf numFmtId="0" fontId="29" fillId="20" borderId="1" xfId="0" applyFont="1" applyFill="1" applyBorder="1" applyAlignment="1">
      <alignment horizontal="center" vertical="center"/>
    </xf>
    <xf numFmtId="0" fontId="0" fillId="0" borderId="0" xfId="0" applyAlignment="1">
      <alignment horizontal="left" vertical="top" wrapText="1"/>
    </xf>
    <xf numFmtId="0" fontId="8" fillId="0" borderId="0" xfId="1"/>
    <xf numFmtId="0" fontId="0" fillId="0" borderId="0" xfId="0" applyAlignment="1">
      <alignment wrapText="1"/>
    </xf>
    <xf numFmtId="0" fontId="21" fillId="5" borderId="1" xfId="0" applyFont="1" applyFill="1" applyBorder="1" applyAlignment="1">
      <alignment horizontal="left" vertical="center" wrapText="1"/>
    </xf>
    <xf numFmtId="0" fontId="32" fillId="0" borderId="1" xfId="0" applyFont="1" applyBorder="1" applyAlignment="1">
      <alignment horizontal="center"/>
    </xf>
    <xf numFmtId="0" fontId="0" fillId="0" borderId="1" xfId="0" applyBorder="1" applyAlignment="1">
      <alignment horizontal="left" vertical="center"/>
    </xf>
    <xf numFmtId="0" fontId="7" fillId="0" borderId="27" xfId="0" applyFont="1" applyBorder="1" applyAlignment="1">
      <alignment horizontal="left" vertical="top" wrapText="1"/>
    </xf>
    <xf numFmtId="15" fontId="17" fillId="15" borderId="1" xfId="0" applyNumberFormat="1" applyFont="1" applyFill="1" applyBorder="1" applyAlignment="1">
      <alignment vertical="center" wrapText="1"/>
    </xf>
    <xf numFmtId="0" fontId="0" fillId="0" borderId="2" xfId="0" applyBorder="1"/>
    <xf numFmtId="0" fontId="16" fillId="5" borderId="4" xfId="0" applyFont="1" applyFill="1" applyBorder="1" applyAlignment="1">
      <alignment horizontal="center" vertical="center" wrapText="1"/>
    </xf>
    <xf numFmtId="0" fontId="0" fillId="15" borderId="2" xfId="0" applyFill="1" applyBorder="1" applyAlignment="1">
      <alignment vertical="center"/>
    </xf>
    <xf numFmtId="0" fontId="7" fillId="0" borderId="0" xfId="0" applyFont="1" applyAlignment="1">
      <alignment horizontal="left" vertical="top" wrapText="1"/>
    </xf>
    <xf numFmtId="0" fontId="16" fillId="5" borderId="43" xfId="0" applyFont="1" applyFill="1" applyBorder="1" applyAlignment="1">
      <alignment horizontal="center" vertical="center" wrapText="1"/>
    </xf>
    <xf numFmtId="0" fontId="12" fillId="7" borderId="18" xfId="0" applyFont="1" applyFill="1" applyBorder="1" applyAlignment="1">
      <alignment horizontal="center" vertical="center" wrapText="1"/>
    </xf>
    <xf numFmtId="0" fontId="0" fillId="0" borderId="29" xfId="0" applyBorder="1"/>
    <xf numFmtId="0" fontId="21" fillId="5" borderId="17" xfId="0" applyFont="1" applyFill="1" applyBorder="1" applyAlignment="1">
      <alignment horizontal="right"/>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 xfId="0" applyFont="1" applyFill="1" applyBorder="1" applyAlignment="1">
      <alignment horizontal="center" vertical="center" wrapText="1"/>
    </xf>
    <xf numFmtId="8" fontId="10" fillId="8" borderId="3" xfId="0" applyNumberFormat="1" applyFont="1" applyFill="1" applyBorder="1" applyAlignment="1">
      <alignment horizontal="center" vertical="center" wrapText="1"/>
    </xf>
    <xf numFmtId="8" fontId="10" fillId="8" borderId="23" xfId="0" applyNumberFormat="1" applyFont="1" applyFill="1" applyBorder="1" applyAlignment="1">
      <alignment horizontal="center" vertical="center" wrapText="1"/>
    </xf>
    <xf numFmtId="8" fontId="10" fillId="8" borderId="24" xfId="0" applyNumberFormat="1" applyFont="1" applyFill="1" applyBorder="1" applyAlignment="1">
      <alignment horizontal="center" vertical="center" wrapText="1"/>
    </xf>
    <xf numFmtId="0" fontId="7" fillId="0" borderId="25" xfId="0" applyFont="1" applyBorder="1" applyAlignment="1">
      <alignment horizontal="left" vertical="top" wrapText="1"/>
    </xf>
    <xf numFmtId="0" fontId="7" fillId="0" borderId="10" xfId="0" applyFont="1" applyBorder="1" applyAlignment="1">
      <alignment horizontal="left" vertical="top" wrapText="1"/>
    </xf>
    <xf numFmtId="0" fontId="7" fillId="0" borderId="26" xfId="0" applyFont="1" applyBorder="1" applyAlignment="1">
      <alignment horizontal="left" vertical="top" wrapText="1"/>
    </xf>
    <xf numFmtId="0" fontId="28" fillId="19" borderId="25" xfId="0" applyFont="1" applyFill="1" applyBorder="1" applyAlignment="1">
      <alignment horizontal="center" vertical="center" wrapText="1"/>
    </xf>
    <xf numFmtId="0" fontId="28" fillId="19" borderId="10" xfId="0" applyFont="1" applyFill="1" applyBorder="1" applyAlignment="1">
      <alignment horizontal="center" vertical="center" wrapText="1"/>
    </xf>
    <xf numFmtId="0" fontId="28" fillId="19" borderId="26" xfId="0" applyFont="1" applyFill="1" applyBorder="1" applyAlignment="1">
      <alignment horizontal="center" vertical="center" wrapText="1"/>
    </xf>
    <xf numFmtId="0" fontId="28" fillId="19" borderId="17" xfId="0" applyFont="1" applyFill="1" applyBorder="1" applyAlignment="1">
      <alignment horizontal="center" vertical="center" wrapText="1"/>
    </xf>
    <xf numFmtId="0" fontId="28" fillId="19" borderId="0" xfId="0" applyFont="1" applyFill="1" applyAlignment="1">
      <alignment horizontal="center" vertical="center" wrapText="1"/>
    </xf>
    <xf numFmtId="0" fontId="28" fillId="19" borderId="27" xfId="0" applyFont="1" applyFill="1" applyBorder="1" applyAlignment="1">
      <alignment horizontal="center" vertical="center" wrapText="1"/>
    </xf>
    <xf numFmtId="0" fontId="28" fillId="19" borderId="28" xfId="0" applyFont="1" applyFill="1" applyBorder="1" applyAlignment="1">
      <alignment horizontal="center" vertical="center" wrapText="1"/>
    </xf>
    <xf numFmtId="0" fontId="28" fillId="19" borderId="13" xfId="0" applyFont="1" applyFill="1" applyBorder="1" applyAlignment="1">
      <alignment horizontal="center" vertical="center" wrapText="1"/>
    </xf>
    <xf numFmtId="0" fontId="28" fillId="19" borderId="29"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5" borderId="18"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2" xfId="0" applyFont="1" applyBorder="1" applyAlignment="1">
      <alignment horizontal="center" vertical="center" wrapText="1"/>
    </xf>
    <xf numFmtId="164" fontId="11" fillId="0" borderId="3" xfId="0" applyNumberFormat="1" applyFont="1" applyBorder="1" applyAlignment="1">
      <alignment horizontal="center" vertical="center" wrapText="1"/>
    </xf>
    <xf numFmtId="164" fontId="11" fillId="0" borderId="23" xfId="0" applyNumberFormat="1" applyFont="1" applyBorder="1" applyAlignment="1">
      <alignment horizontal="center" vertical="center" wrapText="1"/>
    </xf>
    <xf numFmtId="164" fontId="11" fillId="0" borderId="24" xfId="0" applyNumberFormat="1" applyFont="1" applyBorder="1" applyAlignment="1">
      <alignment horizontal="center" vertical="center" wrapText="1"/>
    </xf>
    <xf numFmtId="0" fontId="10" fillId="0" borderId="2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 xfId="0" applyFont="1" applyBorder="1" applyAlignment="1">
      <alignment horizontal="center" vertical="center" wrapText="1"/>
    </xf>
    <xf numFmtId="0" fontId="0" fillId="0" borderId="25"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10" fillId="7" borderId="2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0" fillId="15" borderId="22" xfId="0" applyFont="1" applyFill="1" applyBorder="1" applyAlignment="1">
      <alignment horizontal="center" vertical="center" wrapText="1"/>
    </xf>
    <xf numFmtId="0" fontId="10" fillId="15" borderId="23"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2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6" fillId="8" borderId="3" xfId="0" applyFont="1" applyFill="1" applyBorder="1" applyAlignment="1">
      <alignment horizontal="center" vertical="center"/>
    </xf>
    <xf numFmtId="0" fontId="16" fillId="8" borderId="23" xfId="0" applyFont="1" applyFill="1" applyBorder="1" applyAlignment="1">
      <alignment horizontal="center" vertical="center"/>
    </xf>
    <xf numFmtId="0" fontId="16" fillId="8" borderId="24" xfId="0" applyFont="1" applyFill="1" applyBorder="1" applyAlignment="1">
      <alignment horizontal="center" vertical="center"/>
    </xf>
    <xf numFmtId="8" fontId="10" fillId="7" borderId="3" xfId="0" applyNumberFormat="1" applyFont="1" applyFill="1" applyBorder="1" applyAlignment="1">
      <alignment horizontal="center" vertical="center" wrapText="1"/>
    </xf>
    <xf numFmtId="8" fontId="10" fillId="7" borderId="23" xfId="0" applyNumberFormat="1" applyFont="1" applyFill="1" applyBorder="1" applyAlignment="1">
      <alignment horizontal="center" vertical="center" wrapText="1"/>
    </xf>
    <xf numFmtId="8" fontId="10" fillId="7" borderId="2" xfId="0" applyNumberFormat="1" applyFont="1" applyFill="1" applyBorder="1" applyAlignment="1">
      <alignment horizontal="center" vertical="center" wrapText="1"/>
    </xf>
    <xf numFmtId="8" fontId="10" fillId="0" borderId="3" xfId="0" applyNumberFormat="1" applyFont="1" applyBorder="1" applyAlignment="1">
      <alignment horizontal="center" vertical="center" wrapText="1"/>
    </xf>
    <xf numFmtId="8" fontId="10" fillId="0" borderId="23" xfId="0" applyNumberFormat="1" applyFont="1" applyBorder="1" applyAlignment="1">
      <alignment horizontal="center" vertical="center" wrapText="1"/>
    </xf>
    <xf numFmtId="8" fontId="10" fillId="0" borderId="24" xfId="0" applyNumberFormat="1" applyFont="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3" fillId="2" borderId="36" xfId="0" applyFont="1" applyFill="1" applyBorder="1" applyAlignment="1">
      <alignment horizontal="left" vertical="center" wrapText="1"/>
    </xf>
    <xf numFmtId="0" fontId="3" fillId="2" borderId="37"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38" xfId="0" applyFont="1" applyFill="1" applyBorder="1" applyAlignment="1">
      <alignment horizontal="left"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24" fillId="0" borderId="22"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4" xfId="0" applyFont="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6" fillId="4" borderId="24"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10" fillId="0" borderId="25" xfId="0" applyFont="1" applyBorder="1" applyAlignment="1">
      <alignment horizontal="center" vertical="center" wrapText="1"/>
    </xf>
    <xf numFmtId="0" fontId="10" fillId="0" borderId="7" xfId="0" applyFont="1" applyBorder="1" applyAlignment="1">
      <alignment horizontal="center" vertical="center" wrapText="1"/>
    </xf>
    <xf numFmtId="0" fontId="33" fillId="0" borderId="3" xfId="0" applyFont="1" applyBorder="1" applyAlignment="1">
      <alignment horizontal="center" vertical="center"/>
    </xf>
    <xf numFmtId="0" fontId="33" fillId="0" borderId="23" xfId="0" applyFont="1" applyBorder="1" applyAlignment="1">
      <alignment horizontal="center" vertical="center"/>
    </xf>
    <xf numFmtId="0" fontId="33" fillId="0" borderId="24" xfId="0" applyFont="1" applyBorder="1" applyAlignment="1">
      <alignment horizontal="center" vertical="center"/>
    </xf>
    <xf numFmtId="0" fontId="12" fillId="0" borderId="30"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8" xfId="0" applyFont="1" applyBorder="1" applyAlignment="1">
      <alignment horizontal="center" vertical="center" wrapText="1"/>
    </xf>
    <xf numFmtId="0" fontId="0" fillId="0" borderId="17" xfId="0" applyBorder="1" applyAlignment="1">
      <alignment horizontal="center" vertical="top" wrapText="1"/>
    </xf>
    <xf numFmtId="0" fontId="0" fillId="0" borderId="0" xfId="0" applyAlignment="1">
      <alignment horizontal="center" vertical="top" wrapText="1"/>
    </xf>
    <xf numFmtId="0" fontId="0" fillId="0" borderId="27" xfId="0" applyBorder="1" applyAlignment="1">
      <alignment horizontal="center" vertical="top" wrapText="1"/>
    </xf>
    <xf numFmtId="0" fontId="7" fillId="0" borderId="17" xfId="0" applyFont="1" applyBorder="1" applyAlignment="1">
      <alignment horizontal="left" vertical="top" wrapText="1"/>
    </xf>
    <xf numFmtId="0" fontId="7" fillId="0" borderId="0" xfId="0" applyFont="1" applyAlignment="1">
      <alignment horizontal="left" vertical="top" wrapText="1"/>
    </xf>
    <xf numFmtId="0" fontId="7" fillId="0" borderId="27" xfId="0" applyFont="1" applyBorder="1" applyAlignment="1">
      <alignment horizontal="left" vertical="top" wrapText="1"/>
    </xf>
    <xf numFmtId="0" fontId="0" fillId="0" borderId="28" xfId="0" applyBorder="1" applyAlignment="1">
      <alignment horizontal="center" vertical="top" wrapText="1"/>
    </xf>
    <xf numFmtId="0" fontId="0" fillId="0" borderId="13" xfId="0" applyBorder="1" applyAlignment="1">
      <alignment horizontal="center" vertical="top" wrapText="1"/>
    </xf>
    <xf numFmtId="0" fontId="0" fillId="0" borderId="29" xfId="0" applyBorder="1" applyAlignment="1">
      <alignment horizontal="center" vertical="top" wrapText="1"/>
    </xf>
    <xf numFmtId="0" fontId="11" fillId="0" borderId="1" xfId="0" applyFont="1" applyBorder="1" applyAlignment="1">
      <alignment horizontal="center" vertical="center" wrapText="1"/>
    </xf>
    <xf numFmtId="0" fontId="1" fillId="18" borderId="3" xfId="0" applyFont="1" applyFill="1" applyBorder="1" applyAlignment="1">
      <alignment horizontal="center"/>
    </xf>
    <xf numFmtId="0" fontId="1" fillId="18" borderId="23" xfId="0" applyFont="1" applyFill="1" applyBorder="1" applyAlignment="1">
      <alignment horizontal="center"/>
    </xf>
    <xf numFmtId="0" fontId="1" fillId="18" borderId="2" xfId="0" applyFont="1" applyFill="1" applyBorder="1" applyAlignment="1">
      <alignment horizontal="center"/>
    </xf>
    <xf numFmtId="0" fontId="22" fillId="4" borderId="23" xfId="0" applyFont="1" applyFill="1" applyBorder="1" applyAlignment="1">
      <alignment horizontal="center" vertical="center"/>
    </xf>
    <xf numFmtId="0" fontId="22" fillId="4" borderId="2" xfId="0" applyFont="1" applyFill="1" applyBorder="1" applyAlignment="1">
      <alignment horizontal="center" vertical="center"/>
    </xf>
    <xf numFmtId="0" fontId="15" fillId="3" borderId="32"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5" fillId="3" borderId="34" xfId="0" applyFont="1" applyFill="1" applyBorder="1" applyAlignment="1">
      <alignment horizontal="center" vertical="center" wrapText="1"/>
    </xf>
    <xf numFmtId="0" fontId="25" fillId="14" borderId="32" xfId="0" applyFont="1" applyFill="1" applyBorder="1" applyAlignment="1">
      <alignment horizontal="center" vertical="center"/>
    </xf>
    <xf numFmtId="0" fontId="25" fillId="14" borderId="33" xfId="0" applyFont="1" applyFill="1" applyBorder="1" applyAlignment="1">
      <alignment horizontal="center" vertical="center"/>
    </xf>
    <xf numFmtId="0" fontId="25" fillId="14" borderId="34" xfId="0" applyFont="1" applyFill="1" applyBorder="1" applyAlignment="1">
      <alignment horizontal="center" vertical="center"/>
    </xf>
    <xf numFmtId="0" fontId="22" fillId="13" borderId="32" xfId="0" applyFont="1" applyFill="1" applyBorder="1" applyAlignment="1">
      <alignment horizontal="center" vertical="center"/>
    </xf>
    <xf numFmtId="0" fontId="22" fillId="13" borderId="33" xfId="0" applyFont="1" applyFill="1" applyBorder="1" applyAlignment="1">
      <alignment horizontal="center" vertical="center"/>
    </xf>
    <xf numFmtId="0" fontId="22" fillId="13" borderId="34" xfId="0" applyFont="1" applyFill="1" applyBorder="1" applyAlignment="1">
      <alignment horizontal="center" vertical="center"/>
    </xf>
    <xf numFmtId="0" fontId="10" fillId="17" borderId="22" xfId="0" applyFont="1" applyFill="1" applyBorder="1" applyAlignment="1">
      <alignment horizontal="center" vertical="center" wrapText="1"/>
    </xf>
    <xf numFmtId="0" fontId="10" fillId="17" borderId="2" xfId="0" applyFont="1" applyFill="1" applyBorder="1" applyAlignment="1">
      <alignment horizontal="center" vertical="center" wrapText="1"/>
    </xf>
    <xf numFmtId="0" fontId="10" fillId="17" borderId="3" xfId="0" applyFont="1" applyFill="1" applyBorder="1" applyAlignment="1">
      <alignment horizontal="center" vertical="center" wrapText="1"/>
    </xf>
    <xf numFmtId="8" fontId="10" fillId="17" borderId="2" xfId="0" applyNumberFormat="1" applyFont="1" applyFill="1" applyBorder="1" applyAlignment="1">
      <alignment horizontal="center" vertical="center" wrapText="1"/>
    </xf>
    <xf numFmtId="8" fontId="10" fillId="17" borderId="1" xfId="0" applyNumberFormat="1" applyFont="1" applyFill="1" applyBorder="1" applyAlignment="1">
      <alignment horizontal="center" vertical="center" wrapText="1"/>
    </xf>
    <xf numFmtId="8" fontId="12" fillId="7" borderId="2" xfId="0" applyNumberFormat="1" applyFont="1" applyFill="1" applyBorder="1" applyAlignment="1">
      <alignment horizontal="center" vertical="center" wrapText="1"/>
    </xf>
    <xf numFmtId="8" fontId="12" fillId="7" borderId="1" xfId="0" applyNumberFormat="1"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6" fillId="8" borderId="22"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xf>
    <xf numFmtId="0" fontId="16" fillId="8" borderId="1" xfId="0" applyFont="1" applyFill="1" applyBorder="1" applyAlignment="1">
      <alignment horizontal="center" vertical="center"/>
    </xf>
    <xf numFmtId="8" fontId="10" fillId="17" borderId="3" xfId="0" applyNumberFormat="1" applyFont="1" applyFill="1" applyBorder="1" applyAlignment="1">
      <alignment horizontal="center" vertical="center" wrapText="1"/>
    </xf>
    <xf numFmtId="8" fontId="10" fillId="17" borderId="23" xfId="0" applyNumberFormat="1" applyFont="1" applyFill="1" applyBorder="1" applyAlignment="1">
      <alignment horizontal="center" vertical="center" wrapText="1"/>
    </xf>
    <xf numFmtId="8" fontId="10" fillId="17" borderId="24" xfId="0" applyNumberFormat="1" applyFont="1" applyFill="1" applyBorder="1" applyAlignment="1">
      <alignment horizontal="center" vertical="center" wrapText="1"/>
    </xf>
    <xf numFmtId="0" fontId="7" fillId="0" borderId="17" xfId="0" applyFont="1" applyBorder="1" applyAlignment="1">
      <alignment vertical="top"/>
    </xf>
    <xf numFmtId="0" fontId="7" fillId="0" borderId="0" xfId="0" applyFont="1" applyAlignment="1">
      <alignment vertical="top"/>
    </xf>
    <xf numFmtId="0" fontId="7" fillId="0" borderId="11" xfId="0" applyFont="1" applyBorder="1" applyAlignment="1">
      <alignment horizontal="left" vertical="top" wrapText="1"/>
    </xf>
    <xf numFmtId="0" fontId="7" fillId="0" borderId="17" xfId="0" applyFont="1" applyBorder="1" applyAlignment="1">
      <alignment vertical="top" wrapText="1"/>
    </xf>
    <xf numFmtId="0" fontId="7" fillId="0" borderId="0" xfId="0" applyFont="1" applyAlignment="1">
      <alignment vertical="top" wrapText="1"/>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20" fillId="16" borderId="22" xfId="0" applyFont="1" applyFill="1" applyBorder="1" applyAlignment="1">
      <alignment horizontal="center" vertical="center" wrapText="1"/>
    </xf>
    <xf numFmtId="0" fontId="20" fillId="16" borderId="23"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20" fillId="16" borderId="3" xfId="0" applyFont="1" applyFill="1" applyBorder="1" applyAlignment="1">
      <alignment horizontal="center" vertical="center" wrapText="1"/>
    </xf>
    <xf numFmtId="0" fontId="20" fillId="16" borderId="24" xfId="0" applyFont="1" applyFill="1" applyBorder="1" applyAlignment="1">
      <alignment horizontal="center" vertical="center" wrapText="1"/>
    </xf>
    <xf numFmtId="0" fontId="7" fillId="0" borderId="25" xfId="0" applyFont="1" applyBorder="1" applyAlignment="1">
      <alignment vertical="top" wrapText="1"/>
    </xf>
    <xf numFmtId="0" fontId="7" fillId="0" borderId="10" xfId="0" applyFont="1" applyBorder="1" applyAlignment="1">
      <alignment vertical="top" wrapText="1"/>
    </xf>
    <xf numFmtId="0" fontId="7" fillId="0" borderId="9" xfId="0" applyFont="1" applyBorder="1" applyAlignment="1">
      <alignment horizontal="left" vertical="top" wrapText="1"/>
    </xf>
    <xf numFmtId="0" fontId="21" fillId="5" borderId="25" xfId="0" applyFont="1" applyFill="1" applyBorder="1" applyAlignment="1">
      <alignment horizontal="center" wrapText="1"/>
    </xf>
    <xf numFmtId="0" fontId="21" fillId="5" borderId="10" xfId="0" applyFont="1" applyFill="1" applyBorder="1" applyAlignment="1">
      <alignment horizontal="center"/>
    </xf>
    <xf numFmtId="0" fontId="21" fillId="5" borderId="26" xfId="0" applyFont="1" applyFill="1" applyBorder="1" applyAlignment="1">
      <alignment horizontal="center"/>
    </xf>
    <xf numFmtId="0" fontId="7" fillId="0" borderId="17" xfId="0" applyFont="1" applyBorder="1" applyAlignment="1">
      <alignment horizontal="center" wrapText="1"/>
    </xf>
    <xf numFmtId="0" fontId="7" fillId="0" borderId="0" xfId="0" applyFont="1" applyAlignment="1">
      <alignment horizontal="center" wrapText="1"/>
    </xf>
    <xf numFmtId="0" fontId="7" fillId="0" borderId="27" xfId="0" applyFont="1" applyBorder="1" applyAlignment="1">
      <alignment horizontal="center" wrapText="1"/>
    </xf>
    <xf numFmtId="0" fontId="7" fillId="0" borderId="17" xfId="0" applyFont="1" applyBorder="1" applyAlignment="1">
      <alignment horizontal="left" wrapText="1"/>
    </xf>
    <xf numFmtId="0" fontId="7" fillId="0" borderId="0" xfId="0" applyFont="1" applyAlignment="1">
      <alignment horizontal="left" wrapText="1"/>
    </xf>
    <xf numFmtId="0" fontId="7" fillId="0" borderId="27" xfId="0" applyFont="1" applyBorder="1" applyAlignment="1">
      <alignment horizontal="left" wrapText="1"/>
    </xf>
    <xf numFmtId="0" fontId="26" fillId="3" borderId="17" xfId="0" applyFont="1" applyFill="1" applyBorder="1" applyAlignment="1">
      <alignment horizontal="center" vertical="center"/>
    </xf>
    <xf numFmtId="0" fontId="26" fillId="3" borderId="0" xfId="0" applyFont="1" applyFill="1" applyAlignment="1">
      <alignment horizontal="center" vertical="center"/>
    </xf>
    <xf numFmtId="0" fontId="26" fillId="3" borderId="27" xfId="0" applyFont="1" applyFill="1" applyBorder="1" applyAlignment="1">
      <alignment horizontal="center" vertical="center"/>
    </xf>
    <xf numFmtId="0" fontId="0" fillId="0" borderId="17" xfId="0" applyBorder="1" applyAlignment="1">
      <alignment horizontal="center"/>
    </xf>
    <xf numFmtId="0" fontId="0" fillId="0" borderId="0" xfId="0" applyAlignment="1">
      <alignment horizontal="center"/>
    </xf>
    <xf numFmtId="0" fontId="0" fillId="0" borderId="27" xfId="0" applyBorder="1" applyAlignment="1">
      <alignment horizontal="center"/>
    </xf>
    <xf numFmtId="0" fontId="21" fillId="5" borderId="0" xfId="0" applyFont="1" applyFill="1" applyAlignment="1">
      <alignment horizontal="left"/>
    </xf>
    <xf numFmtId="0" fontId="21" fillId="5" borderId="27" xfId="0" applyFont="1" applyFill="1" applyBorder="1" applyAlignment="1">
      <alignment horizontal="left"/>
    </xf>
    <xf numFmtId="0" fontId="0" fillId="0" borderId="17" xfId="0" applyBorder="1" applyAlignment="1">
      <alignment horizontal="left"/>
    </xf>
    <xf numFmtId="0" fontId="0" fillId="0" borderId="0" xfId="0" applyAlignment="1">
      <alignment horizontal="left"/>
    </xf>
    <xf numFmtId="0" fontId="0" fillId="0" borderId="27" xfId="0" applyBorder="1" applyAlignment="1">
      <alignment horizontal="left"/>
    </xf>
    <xf numFmtId="0" fontId="22" fillId="0" borderId="17" xfId="0" applyFont="1" applyBorder="1" applyAlignment="1">
      <alignment horizontal="left"/>
    </xf>
    <xf numFmtId="0" fontId="22" fillId="0" borderId="0" xfId="0" applyFont="1" applyAlignment="1">
      <alignment horizontal="left"/>
    </xf>
    <xf numFmtId="0" fontId="22" fillId="0" borderId="27" xfId="0" applyFont="1"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3" fillId="3" borderId="17" xfId="0" applyFont="1" applyFill="1" applyBorder="1" applyAlignment="1">
      <alignment horizontal="center" vertical="center"/>
    </xf>
    <xf numFmtId="0" fontId="23" fillId="3" borderId="0" xfId="0" applyFont="1" applyFill="1" applyAlignment="1">
      <alignment horizontal="center" vertical="center"/>
    </xf>
    <xf numFmtId="0" fontId="23" fillId="3" borderId="27" xfId="0" applyFont="1" applyFill="1" applyBorder="1" applyAlignment="1">
      <alignment horizontal="center" vertical="center"/>
    </xf>
    <xf numFmtId="0" fontId="7" fillId="0" borderId="44" xfId="0" applyFont="1" applyBorder="1" applyAlignment="1">
      <alignment horizontal="left" vertical="top" wrapText="1"/>
    </xf>
    <xf numFmtId="0" fontId="7" fillId="0" borderId="45" xfId="0" applyFont="1" applyBorder="1" applyAlignment="1">
      <alignment horizontal="left" vertical="top" wrapText="1"/>
    </xf>
    <xf numFmtId="0" fontId="7" fillId="0" borderId="46" xfId="0" applyFont="1" applyBorder="1" applyAlignment="1">
      <alignment horizontal="left" vertical="top" wrapText="1"/>
    </xf>
  </cellXfs>
  <cellStyles count="2">
    <cellStyle name="Hyperlink" xfId="1" builtinId="8"/>
    <cellStyle name="Normal" xfId="0" builtinId="0"/>
  </cellStyles>
  <dxfs count="25">
    <dxf>
      <alignment horizontal="right" vertical="bottom"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right" vertical="bottom"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18187</xdr:colOff>
      <xdr:row>1</xdr:row>
      <xdr:rowOff>60960</xdr:rowOff>
    </xdr:from>
    <xdr:to>
      <xdr:col>6</xdr:col>
      <xdr:colOff>545255</xdr:colOff>
      <xdr:row>4</xdr:row>
      <xdr:rowOff>327659</xdr:rowOff>
    </xdr:to>
    <xdr:pic>
      <xdr:nvPicPr>
        <xdr:cNvPr id="2" name="Picture 1">
          <a:extLst>
            <a:ext uri="{FF2B5EF4-FFF2-40B4-BE49-F238E27FC236}">
              <a16:creationId xmlns:a16="http://schemas.microsoft.com/office/drawing/2014/main" id="{884EC1BE-C0FF-4D63-B3F8-6A2AFA35BAA4}"/>
            </a:ext>
          </a:extLst>
        </xdr:cNvPr>
        <xdr:cNvPicPr>
          <a:picLocks noChangeAspect="1"/>
        </xdr:cNvPicPr>
      </xdr:nvPicPr>
      <xdr:blipFill>
        <a:blip xmlns:r="http://schemas.openxmlformats.org/officeDocument/2006/relationships" r:embed="rId1"/>
        <a:stretch>
          <a:fillRect/>
        </a:stretch>
      </xdr:blipFill>
      <xdr:spPr>
        <a:xfrm>
          <a:off x="1237387" y="251460"/>
          <a:ext cx="3441293" cy="815339"/>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73CA627-864F-4B03-8DF0-FBE40B53572B}" autoFormatId="16" applyNumberFormats="0" applyBorderFormats="0" applyFontFormats="0" applyPatternFormats="0" applyAlignmentFormats="0" applyWidthHeightFormats="0">
  <queryTableRefresh nextId="13">
    <queryTableFields count="2">
      <queryTableField id="11" name="Name" tableColumnId="11"/>
      <queryTableField id="12" name="Valu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A781A219-BEB2-4933-A9EF-B225EE6E1189}"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97328D-2742-49DD-8D4E-1AEDAAED798C}" name="RAW" displayName="RAW" ref="B2:M190" totalsRowShown="0" headerRowDxfId="24" dataDxfId="22" headerRowBorderDxfId="23" tableBorderDxfId="21" totalsRowBorderDxfId="20">
  <tableColumns count="12">
    <tableColumn id="1" xr3:uid="{BFFF2162-203A-423F-B3C4-7EAC8C20B9F6}" name="Destination " dataDxfId="19"/>
    <tableColumn id="2" xr3:uid="{ABDD7819-9625-418E-90EB-6F1EB9F890D3}" name="Hotel Code" dataDxfId="18"/>
    <tableColumn id="3" xr3:uid="{EC214007-06F5-499E-9D3C-478DD4A7DB84}" name="Hotel / Resort Name " dataDxfId="17"/>
    <tableColumn id="5" xr3:uid="{FD969094-EDE7-44CB-AD04-B746C190CFB4}" name="Room Type" dataDxfId="16"/>
    <tableColumn id="6" xr3:uid="{13B99978-0576-4EBB-890F-A07F45928AB1}" name="Double EP" dataDxfId="15"/>
    <tableColumn id="7" xr3:uid="{1DE8162B-E7F9-4724-AE88-789C9DDC0DA7}" name="Double CP" dataDxfId="14"/>
    <tableColumn id="8" xr3:uid="{4014DE9F-7074-4755-A6C7-4EB62D589AA8}" name="Double MAP" dataDxfId="13"/>
    <tableColumn id="9" xr3:uid="{3CBB7457-BC25-403A-8DBC-8486D2C1A8F2}" name="Double AP" dataDxfId="12"/>
    <tableColumn id="10" xr3:uid="{091AD364-5BF8-49A9-A867-04CBFC66F81A}" name="Triple EP" dataDxfId="11"/>
    <tableColumn id="11" xr3:uid="{76E2A860-CD8A-49F1-876C-1CECC6D1FB05}" name="Triple CP" dataDxfId="10"/>
    <tableColumn id="12" xr3:uid="{996A4833-6139-47C3-BA4F-4ECC5D27C479}" name="Triple MAP" dataDxfId="9"/>
    <tableColumn id="13" xr3:uid="{69E2DDDD-7BBA-42EF-8926-D4CCFF867C49}" name="Triple AP"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0C662-0576-4923-A12B-2921AB080BC9}" name="Price" displayName="Price" ref="A1:B435" tableType="queryTable" totalsRowShown="0">
  <autoFilter ref="A1:B435" xr:uid="{7610C662-0576-4923-A12B-2921AB080BC9}"/>
  <tableColumns count="2">
    <tableColumn id="11" xr3:uid="{5F9533BB-E092-4568-B453-6DC4FF170324}" uniqueName="11" name="Name" queryTableFieldId="11"/>
    <tableColumn id="12" xr3:uid="{07622608-F365-4E0A-A117-9D2EF216F2B1}" uniqueName="12" name="Value" queryTableFieldId="12"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8222AC-6652-4BB0-82D2-6AF0E9F8D65A}" name="Table2" displayName="Table2" ref="J1:K12" totalsRowShown="0" headerRowDxfId="6" headerRowBorderDxfId="5" tableBorderDxfId="4" totalsRowBorderDxfId="3">
  <autoFilter ref="J1:K12" xr:uid="{478222AC-6652-4BB0-82D2-6AF0E9F8D65A}"/>
  <tableColumns count="2">
    <tableColumn id="1" xr3:uid="{DA5E6971-98A9-452A-8B33-67866DF2F705}" name="Vehicle" dataDxfId="2"/>
    <tableColumn id="2" xr3:uid="{48A37231-9D38-45B5-8C5B-C1DE6C76718B}" name="Airport"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D6562B-161E-4437-8670-AD7CF10BFAA4}" name="Extra_fare_price" displayName="Extra_fare_price" ref="D1:E435" tableType="queryTable" totalsRowShown="0">
  <autoFilter ref="D1:E435" xr:uid="{38D6562B-161E-4437-8670-AD7CF10BFAA4}"/>
  <tableColumns count="2">
    <tableColumn id="1" xr3:uid="{998F4B05-B11E-48C1-A402-FE96E329A5F5}" uniqueName="1" name="Name" queryTableFieldId="1"/>
    <tableColumn id="2" xr3:uid="{8A01693C-EDFD-45A3-A066-DFAA95ADA5B7}" uniqueName="2" name="Valu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ateonclick.com/rat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BDBD-3AB3-4C3A-B7FD-1FA8A8515D9B}">
  <sheetPr codeName="Sheet1"/>
  <dimension ref="A1:AE112"/>
  <sheetViews>
    <sheetView showGridLines="0" tabSelected="1" topLeftCell="C25" zoomScaleNormal="100" workbookViewId="0">
      <selection activeCell="T37" sqref="T37"/>
    </sheetView>
  </sheetViews>
  <sheetFormatPr defaultRowHeight="15" x14ac:dyDescent="0.25"/>
  <cols>
    <col min="1" max="1" width="48.28515625" hidden="1" customWidth="1"/>
    <col min="2" max="2" width="50.5703125" hidden="1" customWidth="1"/>
    <col min="3" max="3" width="5.28515625" customWidth="1"/>
    <col min="4" max="4" width="11.85546875" customWidth="1"/>
    <col min="5" max="5" width="15" bestFit="1" customWidth="1"/>
    <col min="6" max="6" width="15.5703125" customWidth="1"/>
    <col min="7" max="7" width="10" bestFit="1" customWidth="1"/>
    <col min="8" max="8" width="9.85546875" bestFit="1" customWidth="1"/>
    <col min="9" max="9" width="6.5703125" customWidth="1"/>
    <col min="10" max="10" width="15.42578125" bestFit="1" customWidth="1"/>
    <col min="11" max="11" width="9.42578125" bestFit="1" customWidth="1"/>
    <col min="12" max="12" width="8" customWidth="1"/>
    <col min="13" max="13" width="11.5703125" customWidth="1"/>
    <col min="14" max="14" width="13.28515625" customWidth="1"/>
    <col min="15" max="15" width="14.7109375" customWidth="1"/>
    <col min="16" max="16" width="11.42578125" bestFit="1" customWidth="1"/>
    <col min="17" max="17" width="16.28515625" customWidth="1"/>
    <col min="18" max="18" width="8.140625" customWidth="1"/>
    <col min="19" max="19" width="12.28515625" customWidth="1"/>
    <col min="20" max="20" width="17.42578125" customWidth="1"/>
    <col min="21" max="21" width="10.28515625" bestFit="1" customWidth="1"/>
    <col min="22" max="22" width="9.42578125" bestFit="1" customWidth="1"/>
    <col min="23" max="23" width="10.28515625" bestFit="1" customWidth="1"/>
  </cols>
  <sheetData>
    <row r="1" spans="4:18" ht="15.75" thickBot="1" x14ac:dyDescent="0.3">
      <c r="D1" s="85" t="s">
        <v>103</v>
      </c>
    </row>
    <row r="2" spans="4:18" ht="14.45" customHeight="1" x14ac:dyDescent="0.25">
      <c r="D2" s="156"/>
      <c r="E2" s="157"/>
      <c r="F2" s="157"/>
      <c r="G2" s="158"/>
      <c r="H2" s="162" t="s">
        <v>369</v>
      </c>
      <c r="I2" s="162"/>
      <c r="J2" s="162"/>
      <c r="K2" s="162"/>
      <c r="L2" s="162"/>
      <c r="M2" s="163"/>
      <c r="N2" s="10"/>
      <c r="O2" s="10"/>
      <c r="P2" s="10"/>
      <c r="Q2" s="10"/>
      <c r="R2" s="10"/>
    </row>
    <row r="3" spans="4:18" x14ac:dyDescent="0.25">
      <c r="D3" s="159"/>
      <c r="E3" s="160"/>
      <c r="F3" s="160"/>
      <c r="G3" s="161"/>
      <c r="H3" s="164"/>
      <c r="I3" s="164"/>
      <c r="J3" s="164"/>
      <c r="K3" s="164"/>
      <c r="L3" s="164"/>
      <c r="M3" s="165"/>
      <c r="N3" s="10"/>
      <c r="O3" s="10"/>
      <c r="P3" s="10"/>
      <c r="Q3" s="10"/>
      <c r="R3" s="10"/>
    </row>
    <row r="4" spans="4:18" x14ac:dyDescent="0.25">
      <c r="D4" s="159"/>
      <c r="E4" s="160"/>
      <c r="F4" s="160"/>
      <c r="G4" s="161"/>
      <c r="H4" s="164"/>
      <c r="I4" s="164"/>
      <c r="J4" s="164"/>
      <c r="K4" s="164"/>
      <c r="L4" s="164"/>
      <c r="M4" s="165"/>
      <c r="N4" s="10"/>
      <c r="O4" s="10"/>
      <c r="P4" s="10"/>
      <c r="Q4" s="10"/>
      <c r="R4" s="10"/>
    </row>
    <row r="5" spans="4:18" ht="27.75" customHeight="1" thickBot="1" x14ac:dyDescent="0.3">
      <c r="D5" s="159"/>
      <c r="E5" s="160"/>
      <c r="F5" s="160"/>
      <c r="G5" s="161"/>
      <c r="H5" s="166"/>
      <c r="I5" s="166"/>
      <c r="J5" s="166"/>
      <c r="K5" s="166"/>
      <c r="L5" s="166"/>
      <c r="M5" s="167"/>
      <c r="N5" s="10"/>
      <c r="O5" s="10"/>
      <c r="P5" s="10"/>
      <c r="Q5" s="10"/>
      <c r="R5" s="10"/>
    </row>
    <row r="6" spans="4:18" ht="30" customHeight="1" x14ac:dyDescent="0.25">
      <c r="D6" s="168" t="s">
        <v>223</v>
      </c>
      <c r="E6" s="169"/>
      <c r="F6" s="169"/>
      <c r="G6" s="169"/>
      <c r="H6" s="169"/>
      <c r="I6" s="169"/>
      <c r="J6" s="169"/>
      <c r="K6" s="169"/>
      <c r="L6" s="169"/>
      <c r="M6" s="170"/>
    </row>
    <row r="7" spans="4:18" ht="14.45" customHeight="1" x14ac:dyDescent="0.25">
      <c r="D7" s="171" t="str">
        <f>IF(AND(F17&lt;&gt;"", H17&lt;&gt;""), "For " &amp; TEXT(LEFT(F17, FIND(" ", H17)-1), "00") &amp; " Nights " &amp; TEXT(LEFT(H17, FIND(" ", H17)-1), "00") &amp; " Days", "")</f>
        <v>For 07 Nights 08 Days</v>
      </c>
      <c r="E7" s="172"/>
      <c r="F7" s="172"/>
      <c r="G7" s="172"/>
      <c r="H7" s="172"/>
      <c r="I7" s="172"/>
      <c r="J7" s="172"/>
      <c r="K7" s="172"/>
      <c r="L7" s="172"/>
      <c r="M7" s="173"/>
    </row>
    <row r="8" spans="4:18" ht="22.9" customHeight="1" x14ac:dyDescent="0.25">
      <c r="D8" s="174" t="s">
        <v>6</v>
      </c>
      <c r="E8" s="175"/>
      <c r="F8" s="175"/>
      <c r="G8" s="175"/>
      <c r="H8" s="175"/>
      <c r="I8" s="175"/>
      <c r="J8" s="175"/>
      <c r="K8" s="175"/>
      <c r="L8" s="175"/>
      <c r="M8" s="176"/>
    </row>
    <row r="9" spans="4:18" ht="14.45" customHeight="1" x14ac:dyDescent="0.25">
      <c r="D9" s="106" t="s">
        <v>7</v>
      </c>
      <c r="E9" s="107"/>
      <c r="F9" s="107"/>
      <c r="G9" s="107"/>
      <c r="H9" s="107"/>
      <c r="I9" s="107"/>
      <c r="J9" s="107"/>
      <c r="K9" s="107"/>
      <c r="L9" s="107"/>
      <c r="M9" s="108"/>
    </row>
    <row r="10" spans="4:18" x14ac:dyDescent="0.25">
      <c r="D10" s="191"/>
      <c r="E10" s="192"/>
      <c r="F10" s="192"/>
      <c r="G10" s="192"/>
      <c r="H10" s="192"/>
      <c r="I10" s="192"/>
      <c r="J10" s="192"/>
      <c r="K10" s="192"/>
      <c r="L10" s="192"/>
      <c r="M10" s="193"/>
    </row>
    <row r="11" spans="4:18" ht="14.45" customHeight="1" x14ac:dyDescent="0.25">
      <c r="D11" s="194" t="s">
        <v>224</v>
      </c>
      <c r="E11" s="195"/>
      <c r="F11" s="195"/>
      <c r="G11" s="195"/>
      <c r="H11" s="195"/>
      <c r="I11" s="195"/>
      <c r="J11" s="195"/>
      <c r="K11" s="195"/>
      <c r="L11" s="195"/>
      <c r="M11" s="196"/>
    </row>
    <row r="12" spans="4:18" x14ac:dyDescent="0.25">
      <c r="D12" s="194"/>
      <c r="E12" s="195"/>
      <c r="F12" s="195"/>
      <c r="G12" s="195"/>
      <c r="H12" s="195"/>
      <c r="I12" s="195"/>
      <c r="J12" s="195"/>
      <c r="K12" s="195"/>
      <c r="L12" s="195"/>
      <c r="M12" s="196"/>
    </row>
    <row r="13" spans="4:18" ht="14.45" customHeight="1" x14ac:dyDescent="0.25">
      <c r="D13" s="194" t="s">
        <v>8</v>
      </c>
      <c r="E13" s="195"/>
      <c r="F13" s="195"/>
      <c r="G13" s="195"/>
      <c r="H13" s="195"/>
      <c r="I13" s="195"/>
      <c r="J13" s="195"/>
      <c r="K13" s="195"/>
      <c r="L13" s="195"/>
      <c r="M13" s="196"/>
    </row>
    <row r="14" spans="4:18" x14ac:dyDescent="0.25">
      <c r="D14" s="197"/>
      <c r="E14" s="198"/>
      <c r="F14" s="198"/>
      <c r="G14" s="198"/>
      <c r="H14" s="198"/>
      <c r="I14" s="198"/>
      <c r="J14" s="198"/>
      <c r="K14" s="198"/>
      <c r="L14" s="198"/>
      <c r="M14" s="199"/>
    </row>
    <row r="15" spans="4:18" ht="22.5" x14ac:dyDescent="0.25">
      <c r="D15" s="177" t="s">
        <v>9</v>
      </c>
      <c r="E15" s="178"/>
      <c r="F15" s="178"/>
      <c r="G15" s="178"/>
      <c r="H15" s="178"/>
      <c r="I15" s="178"/>
      <c r="J15" s="178"/>
      <c r="K15" s="178"/>
      <c r="L15" s="178"/>
      <c r="M15" s="179"/>
    </row>
    <row r="16" spans="4:18" ht="28.15" customHeight="1" x14ac:dyDescent="0.25">
      <c r="D16" s="180" t="s">
        <v>10</v>
      </c>
      <c r="E16" s="181"/>
      <c r="F16" s="200" t="s">
        <v>11</v>
      </c>
      <c r="G16" s="200"/>
      <c r="H16" s="128" t="s">
        <v>12</v>
      </c>
      <c r="I16" s="129"/>
      <c r="J16" s="130"/>
      <c r="K16" s="182">
        <v>2</v>
      </c>
      <c r="L16" s="183"/>
      <c r="M16" s="184"/>
      <c r="N16" s="31" t="s">
        <v>16</v>
      </c>
      <c r="O16" s="57" t="s">
        <v>27</v>
      </c>
      <c r="P16" s="14" t="s">
        <v>112</v>
      </c>
      <c r="Q16" s="42" t="s">
        <v>124</v>
      </c>
    </row>
    <row r="17" spans="1:31" ht="25.5" x14ac:dyDescent="0.25">
      <c r="D17" s="185" t="s">
        <v>71</v>
      </c>
      <c r="E17" s="186"/>
      <c r="F17" s="187" t="str">
        <f>(H37-G37)&amp;" "&amp;"Nights"</f>
        <v>7 Nights</v>
      </c>
      <c r="G17" s="188"/>
      <c r="H17" s="189" t="str">
        <f>DAY(H37-G37)+1&amp;" "&amp;"Days"</f>
        <v>8 Days</v>
      </c>
      <c r="I17" s="189"/>
      <c r="J17" s="12" t="str">
        <f>O17</f>
        <v>NA</v>
      </c>
      <c r="K17" s="186">
        <f>IF(O16="Double", MOD(K16,2),IF(O16="Triple", MOD(K16,3),IF(O16="Quad", MOD(K16,4), 0)))</f>
        <v>0</v>
      </c>
      <c r="L17" s="186"/>
      <c r="M17" s="190"/>
      <c r="N17" s="31" t="s">
        <v>30</v>
      </c>
      <c r="O17" s="58" t="s">
        <v>46</v>
      </c>
      <c r="P17" s="14" t="s">
        <v>81</v>
      </c>
      <c r="Q17" s="42"/>
    </row>
    <row r="18" spans="1:31" x14ac:dyDescent="0.25">
      <c r="D18" s="13" t="s">
        <v>13</v>
      </c>
      <c r="E18" s="11" t="s">
        <v>107</v>
      </c>
      <c r="F18" s="120" t="s">
        <v>14</v>
      </c>
      <c r="G18" s="121"/>
      <c r="H18" s="122" t="s">
        <v>107</v>
      </c>
      <c r="I18" s="123"/>
      <c r="J18" s="12" t="s">
        <v>72</v>
      </c>
      <c r="K18" s="124">
        <f>G37</f>
        <v>46178</v>
      </c>
      <c r="L18" s="125"/>
      <c r="M18" s="126"/>
      <c r="N18" s="31"/>
      <c r="O18" s="57"/>
      <c r="P18" s="14" t="s">
        <v>82</v>
      </c>
      <c r="Q18" s="42"/>
    </row>
    <row r="19" spans="1:31" x14ac:dyDescent="0.25">
      <c r="D19" s="127" t="s">
        <v>15</v>
      </c>
      <c r="E19" s="121"/>
      <c r="F19" s="128" t="str" cm="1">
        <f t="array" ref="F19">_xlfn.TEXTJOIN(", ", TRUE, _xlfn.UNIQUE(_xlfn._xlws.FILTER(D26:D36, D26:D36&lt;&gt;"")))</f>
        <v>Kochi, Munnar, Thekkady , Varkala, Alleppey</v>
      </c>
      <c r="G19" s="129"/>
      <c r="H19" s="129"/>
      <c r="I19" s="130"/>
      <c r="J19" s="12" t="s">
        <v>73</v>
      </c>
      <c r="K19" s="124">
        <f>H37</f>
        <v>46185</v>
      </c>
      <c r="L19" s="125"/>
      <c r="M19" s="126"/>
      <c r="N19" s="31" t="s">
        <v>19</v>
      </c>
      <c r="O19" s="58" t="s">
        <v>95</v>
      </c>
      <c r="P19" s="14" t="s">
        <v>83</v>
      </c>
      <c r="Q19" s="42"/>
    </row>
    <row r="20" spans="1:31" x14ac:dyDescent="0.25">
      <c r="D20" s="109" t="s">
        <v>79</v>
      </c>
      <c r="E20" s="110"/>
      <c r="F20" s="110"/>
      <c r="G20" s="110"/>
      <c r="H20" s="110"/>
      <c r="I20" s="110"/>
      <c r="J20" s="110"/>
      <c r="K20" s="110"/>
      <c r="L20" s="110"/>
      <c r="M20" s="111"/>
      <c r="N20" s="92"/>
      <c r="O20" s="21"/>
      <c r="P20" s="14" t="s">
        <v>84</v>
      </c>
      <c r="Q20" s="42"/>
    </row>
    <row r="21" spans="1:31" x14ac:dyDescent="0.25">
      <c r="D21" s="112"/>
      <c r="E21" s="113"/>
      <c r="F21" s="113"/>
      <c r="G21" s="113"/>
      <c r="H21" s="113"/>
      <c r="I21" s="113"/>
      <c r="J21" s="113"/>
      <c r="K21" s="113"/>
      <c r="L21" s="113"/>
      <c r="M21" s="114"/>
      <c r="N21" s="31" t="s">
        <v>70</v>
      </c>
      <c r="O21" s="59">
        <v>0.04</v>
      </c>
      <c r="P21" s="14" t="s">
        <v>85</v>
      </c>
      <c r="Q21" s="42"/>
    </row>
    <row r="22" spans="1:31" x14ac:dyDescent="0.25">
      <c r="D22" s="115"/>
      <c r="E22" s="116"/>
      <c r="F22" s="116"/>
      <c r="G22" s="116"/>
      <c r="H22" s="116"/>
      <c r="I22" s="116"/>
      <c r="J22" s="116"/>
      <c r="K22" s="116"/>
      <c r="L22" s="116"/>
      <c r="M22" s="117"/>
      <c r="N22" s="41" t="s">
        <v>77</v>
      </c>
      <c r="O22" s="60">
        <f>V37*O21</f>
        <v>2264</v>
      </c>
      <c r="P22" s="14" t="s">
        <v>86</v>
      </c>
      <c r="Q22" s="42"/>
    </row>
    <row r="23" spans="1:31" ht="15.75" thickBot="1" x14ac:dyDescent="0.3">
      <c r="D23" s="131"/>
      <c r="E23" s="132"/>
      <c r="F23" s="132"/>
      <c r="G23" s="132"/>
      <c r="H23" s="132"/>
      <c r="I23" s="132"/>
      <c r="J23" s="132"/>
      <c r="K23" s="132"/>
      <c r="L23" s="132"/>
      <c r="M23" s="133"/>
    </row>
    <row r="24" spans="1:31" ht="23.25" customHeight="1" thickBot="1" x14ac:dyDescent="0.3">
      <c r="D24" s="206" t="s">
        <v>225</v>
      </c>
      <c r="E24" s="207"/>
      <c r="F24" s="207"/>
      <c r="G24" s="207"/>
      <c r="H24" s="207"/>
      <c r="I24" s="207"/>
      <c r="J24" s="207"/>
      <c r="K24" s="207"/>
      <c r="L24" s="207"/>
      <c r="M24" s="208"/>
      <c r="N24" s="44"/>
      <c r="O24" s="212" t="s">
        <v>48</v>
      </c>
      <c r="P24" s="213"/>
      <c r="Q24" s="213"/>
      <c r="R24" s="213"/>
      <c r="S24" s="214"/>
      <c r="T24" s="209" t="s">
        <v>28</v>
      </c>
      <c r="U24" s="210"/>
      <c r="V24" s="211"/>
    </row>
    <row r="25" spans="1:31" ht="25.5" x14ac:dyDescent="0.25">
      <c r="D25" s="34" t="s">
        <v>20</v>
      </c>
      <c r="E25" s="35" t="s">
        <v>5</v>
      </c>
      <c r="F25" s="35" t="s">
        <v>3</v>
      </c>
      <c r="G25" s="35" t="s">
        <v>21</v>
      </c>
      <c r="H25" s="35" t="s">
        <v>22</v>
      </c>
      <c r="I25" s="35" t="s">
        <v>23</v>
      </c>
      <c r="J25" s="35" t="s">
        <v>19</v>
      </c>
      <c r="K25" s="35" t="s">
        <v>18</v>
      </c>
      <c r="L25" s="35" t="s">
        <v>24</v>
      </c>
      <c r="M25" s="96" t="s">
        <v>12</v>
      </c>
      <c r="N25" s="93" t="s">
        <v>39</v>
      </c>
      <c r="O25" s="32" t="s">
        <v>27</v>
      </c>
      <c r="P25" s="32" t="s">
        <v>17</v>
      </c>
      <c r="Q25" s="24" t="str">
        <f>IF(O17="NA", "Cost Not Applicable", "Cost of " &amp; O17)</f>
        <v>Cost Not Applicable</v>
      </c>
      <c r="R25" s="24" t="s">
        <v>100</v>
      </c>
      <c r="S25" s="82" t="s">
        <v>101</v>
      </c>
      <c r="T25" s="25" t="s">
        <v>47</v>
      </c>
      <c r="U25" s="25" t="str">
        <f>IF(O17="NA", "Cost Not Applicable", "Total Cost of " &amp; O17)</f>
        <v>Cost Not Applicable</v>
      </c>
      <c r="V25" s="54" t="s">
        <v>28</v>
      </c>
      <c r="W25" s="33" t="s">
        <v>78</v>
      </c>
      <c r="X25" s="18" t="s">
        <v>29</v>
      </c>
    </row>
    <row r="26" spans="1:31" s="39" customFormat="1" ht="28.5" x14ac:dyDescent="0.25">
      <c r="A26" s="39" t="str">
        <f>IF(E26="","",E26&amp;"-"&amp;F26&amp;"-"&amp;$O$16&amp;" "&amp;$K26)</f>
        <v>Broad Bean Hotel-Standard Room-Double MAP</v>
      </c>
      <c r="B26" s="39" t="str">
        <f>IF(E26="","",E26&amp;"-"&amp;$O$17&amp;"-"&amp;$O$16&amp;" "&amp;$K26)</f>
        <v>Broad Bean Hotel-NA-Double MAP</v>
      </c>
      <c r="D26" s="38" t="s">
        <v>662</v>
      </c>
      <c r="E26" s="36" t="s">
        <v>650</v>
      </c>
      <c r="F26" s="15" t="s">
        <v>651</v>
      </c>
      <c r="G26" s="16">
        <f>IF(ISNUMBER($G$37), $G$37, "")</f>
        <v>46178</v>
      </c>
      <c r="H26" s="16">
        <f>IF(I26=0, "", G26 + I26)</f>
        <v>46179</v>
      </c>
      <c r="I26" s="17">
        <v>1</v>
      </c>
      <c r="J26" s="17" t="str">
        <f>IF(E26="","",$O$19)</f>
        <v>Sedan 4 Seater</v>
      </c>
      <c r="K26" s="17" t="s">
        <v>123</v>
      </c>
      <c r="L26" s="17">
        <f>IF(E26="","",IF($O$16="Double", FLOOR($K$16/2, 1), IF($O$16="Triple", FLOOR($K$16/3, 1), 0)))</f>
        <v>1</v>
      </c>
      <c r="M26" s="97">
        <f>IF(E26="","",$K$16)</f>
        <v>2</v>
      </c>
      <c r="N26" s="2">
        <f>IF(E26="","",$K$17)</f>
        <v>0</v>
      </c>
      <c r="O26" s="1">
        <f>IFERROR(IF(E26="","",IF($O$16="Double",VLOOKUP($A26,Price[],2,0),"")),0)</f>
        <v>4300</v>
      </c>
      <c r="P26" s="1" t="str">
        <f>IFERROR(IF(E26="","",IF($O$16="Triple",VLOOKUP($A26,Price[],2,0),"")),0)</f>
        <v/>
      </c>
      <c r="Q26" s="1">
        <f>IFERROR(IF(E26="","",VLOOKUP($B26,Extra_fare_price[#All],2,0)),0)</f>
        <v>0</v>
      </c>
      <c r="R26" s="1">
        <f>IF(OR($O$19="",D26="",I26=""),"",I26 *IF(AND($E$18&lt;&gt;"",$H$18&lt;&gt;""),IF($E$18=$H$18,VLOOKUP($O$19, Price!$J:$L, MATCH(TRIM($E$18), Price!$J$1:$L$1, 0), FALSE),""),IF($E$18&lt;&gt;"",VLOOKUP($O$19, Price!$J:$L, MATCH(TRIM($E$18), Price!$J$1:$L$1, 0), FALSE),IF($H$18&lt;&gt;"",VLOOKUP($O$19, Price!$J:$L, MATCH(TRIM($H$18), Price!$J$1:$L$1, 0), FALSE),""))))</f>
        <v>3200</v>
      </c>
      <c r="S26" s="1">
        <f>IF(Q16="", "", _xlfn.XLOOKUP(Q16, ActivitiesMaster!C:C, ActivitiesMaster!E:E, 0) * $K$16)</f>
        <v>0</v>
      </c>
      <c r="T26" s="1">
        <f t="shared" ref="T26:T35" si="0">IF(E26="","",SUM(O26:P26)*I26*L26)</f>
        <v>4300</v>
      </c>
      <c r="U26" s="1">
        <f t="shared" ref="U26:U35" si="1">IF(E26="","",Q26*I26)</f>
        <v>0</v>
      </c>
      <c r="V26" s="1">
        <f t="shared" ref="V26:V36" si="2">IF(AND(R26="",T26="", U26=""), "", SUM(R26:U26))</f>
        <v>7500</v>
      </c>
      <c r="W26" s="1">
        <v>2000</v>
      </c>
      <c r="X26" s="1">
        <f t="shared" ref="X26:X36" si="3">IF(V26="","",V26-W26)</f>
        <v>5500</v>
      </c>
      <c r="Y26" s="39" t="str">
        <f>IF(V26 = (R26 + S26+T26 + U26), "✅", "❌")</f>
        <v>✅</v>
      </c>
      <c r="Z26" s="39">
        <v>3000</v>
      </c>
      <c r="AA26" s="39">
        <v>18500</v>
      </c>
      <c r="AB26" s="37">
        <v>999</v>
      </c>
      <c r="AC26" s="39">
        <v>999</v>
      </c>
      <c r="AD26" s="39">
        <f>Z26-AB26</f>
        <v>2001</v>
      </c>
      <c r="AE26" s="39">
        <f>AA26-AC26</f>
        <v>17501</v>
      </c>
    </row>
    <row r="27" spans="1:31" s="37" customFormat="1" ht="38.25" x14ac:dyDescent="0.25">
      <c r="A27" s="39" t="str">
        <f t="shared" ref="A27:A36" si="4">IF(E27="","",E27&amp;"-"&amp;F27&amp;"-"&amp;$O$16&amp;" "&amp;$K27)</f>
        <v>Blossom Hill Resort-Valley View Cottage (With Balcony)-Double MAP</v>
      </c>
      <c r="B27" s="39" t="str">
        <f t="shared" ref="B27:B36" si="5">IF(E27="","",E27&amp;"-"&amp;$O$17&amp;"-"&amp;$O$16&amp;" "&amp;$K27)</f>
        <v>Blossom Hill Resort-NA-Double MAP</v>
      </c>
      <c r="D27" s="38" t="s">
        <v>282</v>
      </c>
      <c r="E27" s="36" t="s">
        <v>381</v>
      </c>
      <c r="F27" s="15" t="s">
        <v>531</v>
      </c>
      <c r="G27" s="16">
        <f>IF(E27="","",IF(ISNUMBER(H26), H26, ""))</f>
        <v>46179</v>
      </c>
      <c r="H27" s="16">
        <f t="shared" ref="H27:H34" si="6">IF(I27=0, "", G27 + I27)</f>
        <v>46181</v>
      </c>
      <c r="I27" s="17">
        <v>2</v>
      </c>
      <c r="J27" s="17" t="str">
        <f>IF(E27="","",$O$19)</f>
        <v>Sedan 4 Seater</v>
      </c>
      <c r="K27" s="17" t="s">
        <v>123</v>
      </c>
      <c r="L27" s="17">
        <f t="shared" ref="L27:L36" si="7">IF(E27="","",IF($O$16="Double", FLOOR($K$16/2, 1), IF($O$16="Triple", FLOOR($K$16/3, 1), 0)))</f>
        <v>1</v>
      </c>
      <c r="M27" s="97">
        <f t="shared" ref="M27:M36" si="8">IF(E27="","",$K$16)</f>
        <v>2</v>
      </c>
      <c r="N27" s="2">
        <f t="shared" ref="N27:N36" si="9">IF(E27="","",$K$17)</f>
        <v>0</v>
      </c>
      <c r="O27" s="1">
        <f>IFERROR(IF(E27="","",IF($O$16="Double",VLOOKUP($A27,Price[],2,0),"")),0)</f>
        <v>4700</v>
      </c>
      <c r="P27" s="1" t="str">
        <f>IFERROR(IF(E27="","",IF($O$16="Triple",VLOOKUP($A27,Price[],2,0),"")),0)</f>
        <v/>
      </c>
      <c r="Q27" s="1">
        <f>IFERROR(IF(E27="","",VLOOKUP($B27,Extra_fare_price[#All],2,0)),0)</f>
        <v>0</v>
      </c>
      <c r="R27" s="1">
        <f>IF(OR($O$19="",D27="",I27=""),"",I27 *IF(AND($E$18&lt;&gt;"",$H$18&lt;&gt;""),IF($E$18=$H$18,VLOOKUP($O$19, Price!$J:$L, MATCH(TRIM($E$18), Price!$J$1:$L$1, 0), FALSE),""),IF($E$18&lt;&gt;"",VLOOKUP($O$19, Price!$J:$L, MATCH(TRIM($E$18), Price!$J$1:$L$1, 0), FALSE),IF($H$18&lt;&gt;"",VLOOKUP($O$19, Price!$J:$L, MATCH(TRIM($H$18), Price!$J$1:$L$1, 0), FALSE),""))))</f>
        <v>6400</v>
      </c>
      <c r="S27" s="1" t="str">
        <f>IF(Q17="", "", _xlfn.XLOOKUP(Q17, ActivitiesMaster!C:C, ActivitiesMaster!E:E, 0) * $K$16)</f>
        <v/>
      </c>
      <c r="T27" s="1">
        <f t="shared" si="0"/>
        <v>9400</v>
      </c>
      <c r="U27" s="1">
        <f t="shared" si="1"/>
        <v>0</v>
      </c>
      <c r="V27" s="1">
        <f t="shared" si="2"/>
        <v>15800</v>
      </c>
      <c r="W27" s="1">
        <v>5000</v>
      </c>
      <c r="X27" s="1">
        <f t="shared" si="3"/>
        <v>10800</v>
      </c>
      <c r="Y27" s="39" t="e">
        <f t="shared" ref="Y27:Y36" si="10">IF(V27 = (R27 + S27+T27 + U27), "✅", "❌")</f>
        <v>#VALUE!</v>
      </c>
      <c r="Z27" s="37">
        <v>3000</v>
      </c>
      <c r="AB27" s="37">
        <v>999</v>
      </c>
      <c r="AD27" s="39">
        <f t="shared" ref="AD27:AD30" si="11">Z27-AB27</f>
        <v>2001</v>
      </c>
    </row>
    <row r="28" spans="1:31" s="37" customFormat="1" ht="28.5" x14ac:dyDescent="0.25">
      <c r="A28" s="39" t="str">
        <f t="shared" si="4"/>
        <v>Jungle Park Resort-Jungle View Venus (A/c)-Double MAP</v>
      </c>
      <c r="B28" s="39" t="str">
        <f t="shared" si="5"/>
        <v>Jungle Park Resort-NA-Double MAP</v>
      </c>
      <c r="D28" s="43" t="s">
        <v>158</v>
      </c>
      <c r="E28" s="36" t="s">
        <v>382</v>
      </c>
      <c r="F28" s="15" t="s">
        <v>520</v>
      </c>
      <c r="G28" s="16">
        <f>IF(E28="","",IF(ISNUMBER(H27), H27, ""))</f>
        <v>46181</v>
      </c>
      <c r="H28" s="16">
        <f t="shared" si="6"/>
        <v>46182</v>
      </c>
      <c r="I28" s="17">
        <v>1</v>
      </c>
      <c r="J28" s="17" t="str">
        <f t="shared" ref="J28:J36" si="12">IF(E28="","",$O$19)</f>
        <v>Sedan 4 Seater</v>
      </c>
      <c r="K28" s="17" t="s">
        <v>123</v>
      </c>
      <c r="L28" s="17">
        <f t="shared" si="7"/>
        <v>1</v>
      </c>
      <c r="M28" s="97">
        <f t="shared" si="8"/>
        <v>2</v>
      </c>
      <c r="N28" s="2">
        <f t="shared" si="9"/>
        <v>0</v>
      </c>
      <c r="O28" s="1">
        <f>IFERROR(IF(E28="","",IF($O$16="Double",VLOOKUP($A28,Price[],2,0),"")),0)</f>
        <v>4900</v>
      </c>
      <c r="P28" s="1" t="str">
        <f>IFERROR(IF(E28="","",IF($O$16="Triple",VLOOKUP($A28,Price[],2,0),"")),0)</f>
        <v/>
      </c>
      <c r="Q28" s="1">
        <f>IFERROR(IF(E28="","",VLOOKUP($B28,Extra_fare_price[#All],2,0)),0)</f>
        <v>0</v>
      </c>
      <c r="R28" s="1">
        <f>IF(OR($O$19="",D28="",I28=""),"",I28 *IF(AND($E$18&lt;&gt;"",$H$18&lt;&gt;""),IF($E$18=$H$18,VLOOKUP($O$19, Price!$J:$L, MATCH(TRIM($E$18), Price!$J$1:$L$1, 0), FALSE),""),IF($E$18&lt;&gt;"",VLOOKUP($O$19, Price!$J:$L, MATCH(TRIM($E$18), Price!$J$1:$L$1, 0), FALSE),IF($H$18&lt;&gt;"",VLOOKUP($O$19, Price!$J:$L, MATCH(TRIM($H$18), Price!$J$1:$L$1, 0), FALSE),""))))</f>
        <v>3200</v>
      </c>
      <c r="S28" s="1" t="str">
        <f>IF(Q18="", "", _xlfn.XLOOKUP(Q18, ActivitiesMaster!C:C, ActivitiesMaster!E:E, 0) * $K$16)</f>
        <v/>
      </c>
      <c r="T28" s="1">
        <f t="shared" si="0"/>
        <v>4900</v>
      </c>
      <c r="U28" s="1">
        <f t="shared" si="1"/>
        <v>0</v>
      </c>
      <c r="V28" s="1">
        <f t="shared" si="2"/>
        <v>8100</v>
      </c>
      <c r="W28" s="1">
        <v>9000</v>
      </c>
      <c r="X28" s="1">
        <f t="shared" si="3"/>
        <v>-900</v>
      </c>
      <c r="Y28" s="39" t="e">
        <f t="shared" si="10"/>
        <v>#VALUE!</v>
      </c>
      <c r="Z28" s="37">
        <v>8500</v>
      </c>
      <c r="AB28" s="37">
        <v>999</v>
      </c>
      <c r="AD28" s="39">
        <f t="shared" si="11"/>
        <v>7501</v>
      </c>
    </row>
    <row r="29" spans="1:31" s="37" customFormat="1" ht="57" x14ac:dyDescent="0.25">
      <c r="A29" s="39" t="str">
        <f t="shared" si="4"/>
        <v>Sunview Beach Resort &amp; Spa by Citrine-Garden View-Double CP</v>
      </c>
      <c r="B29" s="39" t="str">
        <f t="shared" si="5"/>
        <v>Sunview Beach Resort &amp; Spa by Citrine-NA-Double CP</v>
      </c>
      <c r="D29" s="38" t="s">
        <v>586</v>
      </c>
      <c r="E29" s="36" t="s">
        <v>585</v>
      </c>
      <c r="F29" s="15" t="s">
        <v>588</v>
      </c>
      <c r="G29" s="16">
        <f t="shared" ref="G29:G36" si="13">IF(E29="","",IF(ISNUMBER(H28), H28, ""))</f>
        <v>46182</v>
      </c>
      <c r="H29" s="16">
        <f t="shared" si="6"/>
        <v>46183</v>
      </c>
      <c r="I29" s="17">
        <v>1</v>
      </c>
      <c r="J29" s="17" t="str">
        <f t="shared" si="12"/>
        <v>Sedan 4 Seater</v>
      </c>
      <c r="K29" s="17" t="s">
        <v>608</v>
      </c>
      <c r="L29" s="17">
        <f t="shared" si="7"/>
        <v>1</v>
      </c>
      <c r="M29" s="97">
        <f t="shared" si="8"/>
        <v>2</v>
      </c>
      <c r="N29" s="2">
        <f t="shared" si="9"/>
        <v>0</v>
      </c>
      <c r="O29" s="1">
        <f>IFERROR(IF(E29="","",IF($O$16="Double",VLOOKUP($A29,Price[],2,0),"")),0)</f>
        <v>6500</v>
      </c>
      <c r="P29" s="1" t="str">
        <f>IFERROR(IF(E29="","",IF($O$16="Triple",VLOOKUP($A29,Price[],2,0),"")),0)</f>
        <v/>
      </c>
      <c r="Q29" s="1">
        <f>IFERROR(IF(E29="","",VLOOKUP($B29,Extra_fare_price[#All],2,0)),0)</f>
        <v>0</v>
      </c>
      <c r="R29" s="1">
        <f>IFERROR(IF(E29="","",VLOOKUP($O$19,Table2[],2,0)),0)</f>
        <v>3200</v>
      </c>
      <c r="S29" s="1" t="str">
        <f>IF(Q19="", "", _xlfn.XLOOKUP(Q19, ActivitiesMaster!C:C, ActivitiesMaster!E:E, 0) * $K$16)</f>
        <v/>
      </c>
      <c r="T29" s="1">
        <f t="shared" si="0"/>
        <v>6500</v>
      </c>
      <c r="U29" s="1">
        <f t="shared" si="1"/>
        <v>0</v>
      </c>
      <c r="V29" s="1">
        <f t="shared" si="2"/>
        <v>9700</v>
      </c>
      <c r="W29" s="1"/>
      <c r="X29" s="1">
        <f t="shared" si="3"/>
        <v>9700</v>
      </c>
      <c r="Y29" s="39" t="e">
        <f t="shared" si="10"/>
        <v>#VALUE!</v>
      </c>
      <c r="Z29" s="37">
        <v>4000</v>
      </c>
      <c r="AB29" s="37">
        <v>999</v>
      </c>
      <c r="AD29" s="39">
        <f t="shared" si="11"/>
        <v>3001</v>
      </c>
    </row>
    <row r="30" spans="1:31" s="37" customFormat="1" ht="42.75" x14ac:dyDescent="0.25">
      <c r="A30" s="39" t="str">
        <f t="shared" si="4"/>
        <v>Trium Resort &amp; Houseboats-Standard Room Non AC-Double MAP</v>
      </c>
      <c r="B30" s="39" t="str">
        <f t="shared" si="5"/>
        <v>Trium Resort &amp; Houseboats-NA-Double MAP</v>
      </c>
      <c r="D30" s="38" t="s">
        <v>162</v>
      </c>
      <c r="E30" s="36" t="s">
        <v>789</v>
      </c>
      <c r="F30" s="15" t="s">
        <v>790</v>
      </c>
      <c r="G30" s="16">
        <f t="shared" si="13"/>
        <v>46183</v>
      </c>
      <c r="H30" s="16">
        <f t="shared" si="6"/>
        <v>46184</v>
      </c>
      <c r="I30" s="17">
        <v>1</v>
      </c>
      <c r="J30" s="17" t="str">
        <f t="shared" si="12"/>
        <v>Sedan 4 Seater</v>
      </c>
      <c r="K30" s="17" t="s">
        <v>123</v>
      </c>
      <c r="L30" s="17">
        <f t="shared" si="7"/>
        <v>1</v>
      </c>
      <c r="M30" s="97">
        <f t="shared" si="8"/>
        <v>2</v>
      </c>
      <c r="N30" s="2">
        <f t="shared" si="9"/>
        <v>0</v>
      </c>
      <c r="O30" s="1">
        <f>IFERROR(IF(E30="","",IF($O$16="Double",VLOOKUP($A30,Price[],2,0),"")),0)</f>
        <v>2900</v>
      </c>
      <c r="P30" s="1" t="str">
        <f>IFERROR(IF(E30="","",IF($O$16="Triple",VLOOKUP($A30,Price[],2,0),"")),0)</f>
        <v/>
      </c>
      <c r="Q30" s="1">
        <f>IFERROR(IF(E30="","",VLOOKUP($B30,Extra_fare_price[#All],2,0)),0)</f>
        <v>0</v>
      </c>
      <c r="R30" s="1">
        <f>IFERROR(IF(E30="","",VLOOKUP($O$19,Table2[],2,0)),0)</f>
        <v>3200</v>
      </c>
      <c r="S30" s="1" t="str">
        <f>IF(Q20="", "", _xlfn.XLOOKUP(Q20, ActivitiesMaster!C:C, ActivitiesMaster!E:E, 0) * $K$16)</f>
        <v/>
      </c>
      <c r="T30" s="1">
        <f t="shared" si="0"/>
        <v>2900</v>
      </c>
      <c r="U30" s="1">
        <f t="shared" si="1"/>
        <v>0</v>
      </c>
      <c r="V30" s="1">
        <f t="shared" si="2"/>
        <v>6100</v>
      </c>
      <c r="W30" s="1">
        <f t="shared" ref="W30:W35" si="14">IF(E30="","",Q30*I30)</f>
        <v>0</v>
      </c>
      <c r="X30" s="1">
        <f t="shared" si="3"/>
        <v>6100</v>
      </c>
      <c r="Y30" s="39" t="e">
        <f t="shared" si="10"/>
        <v>#VALUE!</v>
      </c>
      <c r="Z30" s="37">
        <v>4000</v>
      </c>
      <c r="AB30" s="37">
        <v>999</v>
      </c>
      <c r="AD30" s="39">
        <f t="shared" si="11"/>
        <v>3001</v>
      </c>
    </row>
    <row r="31" spans="1:31" s="37" customFormat="1" ht="76.5" x14ac:dyDescent="0.25">
      <c r="A31" s="39" t="str">
        <f t="shared" si="4"/>
        <v>Symphony Houseboats-A Day Cruise without room Checkin 1pm to Checkout 5:30pm same day ,Veg-Double CP</v>
      </c>
      <c r="B31" s="39" t="str">
        <f t="shared" si="5"/>
        <v>Symphony Houseboats-NA-Double CP</v>
      </c>
      <c r="D31" s="38" t="s">
        <v>162</v>
      </c>
      <c r="E31" s="36" t="s">
        <v>554</v>
      </c>
      <c r="F31" s="15" t="s">
        <v>583</v>
      </c>
      <c r="G31" s="16">
        <f t="shared" si="13"/>
        <v>46184</v>
      </c>
      <c r="H31" s="16">
        <f t="shared" si="6"/>
        <v>46185</v>
      </c>
      <c r="I31" s="17">
        <v>1</v>
      </c>
      <c r="J31" s="17" t="str">
        <f t="shared" si="12"/>
        <v>Sedan 4 Seater</v>
      </c>
      <c r="K31" s="17" t="s">
        <v>608</v>
      </c>
      <c r="L31" s="17">
        <f t="shared" si="7"/>
        <v>1</v>
      </c>
      <c r="M31" s="97">
        <f t="shared" si="8"/>
        <v>2</v>
      </c>
      <c r="N31" s="2">
        <f t="shared" si="9"/>
        <v>0</v>
      </c>
      <c r="O31" s="1">
        <f>IFERROR(IF(E31="","",IF($O$16="Double",VLOOKUP($A31,Price[],2,0),"")),0)</f>
        <v>3000</v>
      </c>
      <c r="P31" s="1" t="str">
        <f>IFERROR(IF(E31="","",IF($O$16="Triple",VLOOKUP($A31,Price[],2,0),"")),0)</f>
        <v/>
      </c>
      <c r="Q31" s="1">
        <f>IFERROR(IF(E31="","",VLOOKUP($B31,Extra_fare_price[#All],2,0)),0)</f>
        <v>0</v>
      </c>
      <c r="R31" s="1">
        <f>IFERROR(IF(E31="","",VLOOKUP($O$19,Table2[],2,0)),0)</f>
        <v>3200</v>
      </c>
      <c r="S31" s="1" t="str">
        <f>IF(Q21="", "", _xlfn.XLOOKUP(Q21, ActivitiesMaster!C:C, ActivitiesMaster!E:E, 0) * $K$16)</f>
        <v/>
      </c>
      <c r="T31" s="1">
        <f t="shared" si="0"/>
        <v>3000</v>
      </c>
      <c r="U31" s="1">
        <f t="shared" si="1"/>
        <v>0</v>
      </c>
      <c r="V31" s="1">
        <f t="shared" si="2"/>
        <v>6200</v>
      </c>
      <c r="W31" s="1">
        <f t="shared" si="14"/>
        <v>0</v>
      </c>
      <c r="X31" s="1">
        <f t="shared" si="3"/>
        <v>6200</v>
      </c>
      <c r="Y31" s="39" t="e">
        <f t="shared" si="10"/>
        <v>#VALUE!</v>
      </c>
    </row>
    <row r="32" spans="1:31" s="37" customFormat="1" x14ac:dyDescent="0.25">
      <c r="A32" s="39" t="str">
        <f t="shared" si="4"/>
        <v/>
      </c>
      <c r="B32" s="39" t="str">
        <f t="shared" si="5"/>
        <v/>
      </c>
      <c r="D32" s="38"/>
      <c r="E32" s="36"/>
      <c r="F32" s="15"/>
      <c r="G32" s="16" t="str">
        <f t="shared" si="13"/>
        <v/>
      </c>
      <c r="H32" s="16" t="str">
        <f t="shared" si="6"/>
        <v/>
      </c>
      <c r="I32" s="17"/>
      <c r="J32" s="17" t="str">
        <f t="shared" si="12"/>
        <v/>
      </c>
      <c r="K32" s="17"/>
      <c r="L32" s="17" t="str">
        <f t="shared" si="7"/>
        <v/>
      </c>
      <c r="M32" s="97" t="str">
        <f t="shared" si="8"/>
        <v/>
      </c>
      <c r="N32" s="2" t="str">
        <f t="shared" si="9"/>
        <v/>
      </c>
      <c r="O32" s="1" t="str">
        <f>IFERROR(IF(E32="","",IF($O$16="Double",VLOOKUP($A32,Price[],2,0),"")),0)</f>
        <v/>
      </c>
      <c r="P32" s="1" t="str">
        <f>IFERROR(IF(E32="","",IF($O$16="Triple",VLOOKUP($A32,Price[],2,0),"")),0)</f>
        <v/>
      </c>
      <c r="Q32" s="1" t="str">
        <f>IFERROR(IF(E32="","",VLOOKUP($B32,Extra_fare_price[#All],2,0)),0)</f>
        <v/>
      </c>
      <c r="R32" s="1" t="str">
        <f>IFERROR(IF(E32="","",VLOOKUP($O$19,Table2[],2,0)),0)</f>
        <v/>
      </c>
      <c r="S32" s="1" t="str">
        <f>IF(Q22="", "", _xlfn.XLOOKUP(Q22, ActivitiesMaster!C:C, ActivitiesMaster!E:E, 0) * $K$16)</f>
        <v/>
      </c>
      <c r="T32" s="1" t="str">
        <f t="shared" si="0"/>
        <v/>
      </c>
      <c r="U32" s="1" t="str">
        <f t="shared" si="1"/>
        <v/>
      </c>
      <c r="V32" s="1" t="str">
        <f t="shared" si="2"/>
        <v/>
      </c>
      <c r="W32" s="1" t="str">
        <f t="shared" si="14"/>
        <v/>
      </c>
      <c r="X32" s="1" t="str">
        <f t="shared" si="3"/>
        <v/>
      </c>
      <c r="Y32" s="39" t="e">
        <f t="shared" si="10"/>
        <v>#VALUE!</v>
      </c>
    </row>
    <row r="33" spans="1:25" s="37" customFormat="1" x14ac:dyDescent="0.25">
      <c r="A33" s="39" t="str">
        <f t="shared" si="4"/>
        <v/>
      </c>
      <c r="B33" s="39" t="str">
        <f t="shared" si="5"/>
        <v/>
      </c>
      <c r="D33" s="38"/>
      <c r="E33" s="36"/>
      <c r="F33" s="15"/>
      <c r="G33" s="16" t="str">
        <f t="shared" si="13"/>
        <v/>
      </c>
      <c r="H33" s="16" t="str">
        <f t="shared" si="6"/>
        <v/>
      </c>
      <c r="I33" s="17"/>
      <c r="J33" s="17" t="str">
        <f t="shared" si="12"/>
        <v/>
      </c>
      <c r="K33" s="17"/>
      <c r="L33" s="17" t="str">
        <f t="shared" si="7"/>
        <v/>
      </c>
      <c r="M33" s="97" t="str">
        <f t="shared" si="8"/>
        <v/>
      </c>
      <c r="N33" s="2" t="str">
        <f t="shared" si="9"/>
        <v/>
      </c>
      <c r="O33" s="1" t="str">
        <f>IFERROR(IF(E33="","",IF($O$16="Double",VLOOKUP($A33,Price[],2,0),"")),0)</f>
        <v/>
      </c>
      <c r="P33" s="1" t="str">
        <f>IFERROR(IF(E33="","",IF($O$16="Triple",VLOOKUP($A33,Price[],2,0),"")),0)</f>
        <v/>
      </c>
      <c r="Q33" s="1" t="str">
        <f>IFERROR(IF(E33="","",VLOOKUP($B33,Extra_fare_price[#All],2,0)),0)</f>
        <v/>
      </c>
      <c r="R33" s="1" t="str">
        <f>IFERROR(IF(E33="","",VLOOKUP($O$19,Table2[],2,0)),0)</f>
        <v/>
      </c>
      <c r="S33" s="1"/>
      <c r="T33" s="1" t="str">
        <f t="shared" si="0"/>
        <v/>
      </c>
      <c r="U33" s="1" t="str">
        <f t="shared" si="1"/>
        <v/>
      </c>
      <c r="V33" s="1" t="str">
        <f t="shared" si="2"/>
        <v/>
      </c>
      <c r="W33" s="1" t="str">
        <f t="shared" si="14"/>
        <v/>
      </c>
      <c r="X33" s="1" t="str">
        <f t="shared" si="3"/>
        <v/>
      </c>
      <c r="Y33" s="39" t="e">
        <f t="shared" si="10"/>
        <v>#VALUE!</v>
      </c>
    </row>
    <row r="34" spans="1:25" s="37" customFormat="1" x14ac:dyDescent="0.25">
      <c r="A34" s="39" t="str">
        <f t="shared" si="4"/>
        <v/>
      </c>
      <c r="B34" s="39" t="str">
        <f t="shared" si="5"/>
        <v/>
      </c>
      <c r="D34" s="38"/>
      <c r="E34" s="36"/>
      <c r="F34" s="15"/>
      <c r="G34" s="16" t="str">
        <f t="shared" si="13"/>
        <v/>
      </c>
      <c r="H34" s="16" t="str">
        <f t="shared" si="6"/>
        <v/>
      </c>
      <c r="I34" s="17"/>
      <c r="J34" s="17" t="str">
        <f t="shared" si="12"/>
        <v/>
      </c>
      <c r="K34" s="17"/>
      <c r="L34" s="17" t="str">
        <f t="shared" si="7"/>
        <v/>
      </c>
      <c r="M34" s="97" t="str">
        <f t="shared" si="8"/>
        <v/>
      </c>
      <c r="N34" s="2" t="str">
        <f t="shared" si="9"/>
        <v/>
      </c>
      <c r="O34" s="1" t="str">
        <f>IFERROR(IF(E34="","",IF($O$16="Double",VLOOKUP($A34,Price[],2,0),"")),0)</f>
        <v/>
      </c>
      <c r="P34" s="1" t="str">
        <f>IFERROR(IF(E34="","",IF($O$16="Triple",VLOOKUP($A34,Price[],2,0),"")),0)</f>
        <v/>
      </c>
      <c r="Q34" s="1" t="str">
        <f>IFERROR(IF(E34="","",VLOOKUP($B34,Extra_fare_price[#All],2,0)),0)</f>
        <v/>
      </c>
      <c r="R34" s="1" t="str">
        <f>IFERROR(IF(E34="","",VLOOKUP($O$19,Table2[],2,0)),0)</f>
        <v/>
      </c>
      <c r="S34" s="1"/>
      <c r="T34" s="1" t="str">
        <f t="shared" si="0"/>
        <v/>
      </c>
      <c r="U34" s="1" t="str">
        <f t="shared" si="1"/>
        <v/>
      </c>
      <c r="V34" s="1" t="str">
        <f t="shared" si="2"/>
        <v/>
      </c>
      <c r="W34" s="1" t="str">
        <f t="shared" si="14"/>
        <v/>
      </c>
      <c r="X34" s="1" t="str">
        <f t="shared" si="3"/>
        <v/>
      </c>
      <c r="Y34" s="39" t="e">
        <f t="shared" si="10"/>
        <v>#VALUE!</v>
      </c>
    </row>
    <row r="35" spans="1:25" s="37" customFormat="1" x14ac:dyDescent="0.25">
      <c r="A35" s="39" t="str">
        <f t="shared" si="4"/>
        <v/>
      </c>
      <c r="B35" s="39" t="str">
        <f t="shared" si="5"/>
        <v/>
      </c>
      <c r="D35" s="38"/>
      <c r="E35" s="36"/>
      <c r="F35" s="15"/>
      <c r="G35" s="16" t="str">
        <f t="shared" si="13"/>
        <v/>
      </c>
      <c r="H35" s="16"/>
      <c r="I35" s="17" t="str">
        <f t="shared" ref="I35:I36" si="15">IF(E35="","",DAY(H35-G35))</f>
        <v/>
      </c>
      <c r="J35" s="17" t="str">
        <f t="shared" si="12"/>
        <v/>
      </c>
      <c r="K35" s="17"/>
      <c r="L35" s="17" t="str">
        <f t="shared" si="7"/>
        <v/>
      </c>
      <c r="M35" s="97" t="str">
        <f t="shared" si="8"/>
        <v/>
      </c>
      <c r="N35" s="2" t="str">
        <f t="shared" si="9"/>
        <v/>
      </c>
      <c r="O35" s="1" t="str">
        <f>IFERROR(IF(E35="","",IF($O$16="Double",VLOOKUP($A35,Price[],2,0),"")),0)</f>
        <v/>
      </c>
      <c r="P35" s="1" t="str">
        <f>IFERROR(IF(E35="","",IF($O$16="Triple",VLOOKUP($A35,Price[],2,0),"")),0)</f>
        <v/>
      </c>
      <c r="Q35" s="1" t="str">
        <f>IFERROR(IF(E35="","",VLOOKUP($B35,Extra_fare_price[#All],2,0)),0)</f>
        <v/>
      </c>
      <c r="R35" s="1" t="str">
        <f>IFERROR(IF(E35="","",VLOOKUP($O$19,Table2[],2,0)),0)</f>
        <v/>
      </c>
      <c r="S35" s="1"/>
      <c r="T35" s="1" t="str">
        <f t="shared" si="0"/>
        <v/>
      </c>
      <c r="U35" s="1" t="str">
        <f t="shared" si="1"/>
        <v/>
      </c>
      <c r="V35" s="1" t="str">
        <f t="shared" si="2"/>
        <v/>
      </c>
      <c r="W35" s="1" t="str">
        <f t="shared" si="14"/>
        <v/>
      </c>
      <c r="X35" s="1" t="str">
        <f t="shared" si="3"/>
        <v/>
      </c>
      <c r="Y35" s="39" t="e">
        <f t="shared" si="10"/>
        <v>#VALUE!</v>
      </c>
    </row>
    <row r="36" spans="1:25" s="37" customFormat="1" x14ac:dyDescent="0.25">
      <c r="A36" s="39" t="str">
        <f t="shared" si="4"/>
        <v/>
      </c>
      <c r="B36" s="39" t="str">
        <f t="shared" si="5"/>
        <v/>
      </c>
      <c r="D36" s="38"/>
      <c r="E36" s="36"/>
      <c r="F36" s="15"/>
      <c r="G36" s="16" t="str">
        <f t="shared" si="13"/>
        <v/>
      </c>
      <c r="H36" s="16"/>
      <c r="I36" s="17" t="str">
        <f t="shared" si="15"/>
        <v/>
      </c>
      <c r="J36" s="17" t="str">
        <f t="shared" si="12"/>
        <v/>
      </c>
      <c r="K36" s="17"/>
      <c r="L36" s="17" t="str">
        <f t="shared" si="7"/>
        <v/>
      </c>
      <c r="M36" s="97" t="str">
        <f t="shared" si="8"/>
        <v/>
      </c>
      <c r="N36" s="2" t="str">
        <f t="shared" si="9"/>
        <v/>
      </c>
      <c r="O36" s="1" t="str">
        <f>IFERROR(IF(E36="","",IF($O$16="Double",VLOOKUP($A36,Price[],2,0),"")),0)</f>
        <v/>
      </c>
      <c r="P36" s="1" t="str">
        <f>IFERROR(IF(E36="","",IF($O$16="Triple",VLOOKUP($A36,Price[],2,0),"")),0)</f>
        <v/>
      </c>
      <c r="Q36" s="1" t="str">
        <f>IFERROR(IF(E36="","",VLOOKUP($B36,Extra_fare_price[#All],2,0)),0)</f>
        <v/>
      </c>
      <c r="R36" s="1" t="str">
        <f>IFERROR(IF(E36="","",VLOOKUP($O$19,Table2[],2,0)),0)</f>
        <v/>
      </c>
      <c r="S36" s="46"/>
      <c r="T36" s="1"/>
      <c r="U36" s="1"/>
      <c r="V36" s="1" t="str">
        <f t="shared" si="2"/>
        <v/>
      </c>
      <c r="W36" s="1"/>
      <c r="X36" s="1" t="str">
        <f t="shared" si="3"/>
        <v/>
      </c>
      <c r="Y36" s="39" t="e">
        <f t="shared" si="10"/>
        <v>#VALUE!</v>
      </c>
    </row>
    <row r="37" spans="1:25" s="37" customFormat="1" ht="15" customHeight="1" x14ac:dyDescent="0.25">
      <c r="D37" s="141" t="s">
        <v>76</v>
      </c>
      <c r="E37" s="142"/>
      <c r="F37" s="143"/>
      <c r="G37" s="91">
        <v>46178</v>
      </c>
      <c r="H37" s="91">
        <f>IF(AND(ISNUMBER(G37), ISNUMBER(I37)), G37 + I37, "")</f>
        <v>46185</v>
      </c>
      <c r="I37" s="26">
        <f>SUM(I26:I36)</f>
        <v>7</v>
      </c>
      <c r="J37" s="118"/>
      <c r="K37" s="118"/>
      <c r="L37" s="118"/>
      <c r="M37" s="119"/>
      <c r="N37" s="94"/>
      <c r="O37" s="27">
        <f>SUM(O26:O36)</f>
        <v>26300</v>
      </c>
      <c r="P37" s="27">
        <f t="shared" ref="P37:Q37" si="16">SUM(P26:P36)</f>
        <v>0</v>
      </c>
      <c r="Q37" s="27">
        <f t="shared" si="16"/>
        <v>0</v>
      </c>
      <c r="R37" s="27">
        <f>SUM(R26:R36)+IF(OR($O$19="",R26=""),"",VLOOKUP($O$19,Price!$J:$L,MATCH(TRIM($E$18),Price!$J$1:$L$1,0),FALSE))</f>
        <v>25600</v>
      </c>
      <c r="S37" s="27">
        <f>SUM(S26:S36)</f>
        <v>0</v>
      </c>
      <c r="T37" s="27">
        <f>SUM(T26:T36)</f>
        <v>31000</v>
      </c>
      <c r="U37" s="27">
        <f>SUM(U26:U36)</f>
        <v>0</v>
      </c>
      <c r="V37" s="27">
        <f>SUM(R37:U37)</f>
        <v>56600</v>
      </c>
      <c r="W37" s="27">
        <f>SUM(W26:W36)</f>
        <v>16000</v>
      </c>
      <c r="X37" s="27">
        <f>SUM(X26:X36)</f>
        <v>37400</v>
      </c>
      <c r="Y37" s="39" t="str">
        <f>IF(V37 = (R37 +S37+ T37 + U37), "✅", "❌")</f>
        <v>✅</v>
      </c>
    </row>
    <row r="38" spans="1:25" x14ac:dyDescent="0.25">
      <c r="D38" s="138"/>
      <c r="E38" s="139"/>
      <c r="F38" s="139"/>
      <c r="G38" s="139"/>
      <c r="H38" s="139"/>
      <c r="I38" s="139"/>
      <c r="J38" s="139"/>
      <c r="K38" s="139"/>
      <c r="L38" s="139"/>
      <c r="M38" s="140"/>
      <c r="N38" s="204" t="s">
        <v>25</v>
      </c>
      <c r="O38" s="204"/>
      <c r="P38" s="204"/>
      <c r="Q38" s="205"/>
      <c r="R38" s="201">
        <f>SUM(R37:U37)</f>
        <v>56600</v>
      </c>
      <c r="S38" s="202"/>
      <c r="T38" s="203"/>
      <c r="U38" s="1" t="str">
        <f>IF(V37 = (R37 + S37+T37 + U37), "✅", "❌")</f>
        <v>✅</v>
      </c>
      <c r="X38" s="39"/>
    </row>
    <row r="39" spans="1:25" ht="22.5" x14ac:dyDescent="0.25">
      <c r="D39" s="222" t="s">
        <v>49</v>
      </c>
      <c r="E39" s="223"/>
      <c r="F39" s="223"/>
      <c r="G39" s="223"/>
      <c r="H39" s="223"/>
      <c r="I39" s="223"/>
      <c r="J39" s="223"/>
      <c r="K39" s="223"/>
      <c r="L39" s="223"/>
      <c r="M39" s="224"/>
      <c r="N39" s="28"/>
      <c r="O39" s="28"/>
      <c r="P39" s="28"/>
      <c r="Q39" s="29"/>
      <c r="R39" s="29"/>
      <c r="S39" s="28"/>
      <c r="T39" s="28"/>
      <c r="X39" s="39"/>
    </row>
    <row r="40" spans="1:25" ht="30.75" customHeight="1" x14ac:dyDescent="0.25">
      <c r="D40" s="225" t="s">
        <v>50</v>
      </c>
      <c r="E40" s="226"/>
      <c r="F40" s="227" t="s">
        <v>51</v>
      </c>
      <c r="G40" s="226"/>
      <c r="H40" s="144" t="s">
        <v>52</v>
      </c>
      <c r="I40" s="145"/>
      <c r="J40" s="146"/>
      <c r="K40" s="147" t="s">
        <v>53</v>
      </c>
      <c r="L40" s="148"/>
      <c r="M40" s="149"/>
      <c r="N40" s="228" t="s">
        <v>25</v>
      </c>
      <c r="O40" s="229"/>
      <c r="P40" s="28"/>
      <c r="Q40" s="28"/>
      <c r="R40" s="28"/>
      <c r="S40" s="28"/>
      <c r="T40" s="28"/>
      <c r="X40" s="39"/>
    </row>
    <row r="41" spans="1:25" ht="19.5" customHeight="1" x14ac:dyDescent="0.25">
      <c r="D41" s="134" t="s">
        <v>54</v>
      </c>
      <c r="E41" s="135"/>
      <c r="F41" s="136">
        <f>K16-K17</f>
        <v>2</v>
      </c>
      <c r="G41" s="137"/>
      <c r="H41" s="150">
        <f>(K41/F41)/$I$37</f>
        <v>4204.5714285714284</v>
      </c>
      <c r="I41" s="151"/>
      <c r="J41" s="152"/>
      <c r="K41" s="153">
        <f>(N41*$O$21)+N41</f>
        <v>58864</v>
      </c>
      <c r="L41" s="154"/>
      <c r="M41" s="155"/>
      <c r="N41" s="220">
        <f>(R37/$F$43)*F41+T37</f>
        <v>56600</v>
      </c>
      <c r="O41" s="221"/>
      <c r="P41" s="28"/>
      <c r="Q41" s="28"/>
      <c r="R41" s="28"/>
      <c r="S41" s="28"/>
      <c r="T41" s="28"/>
      <c r="X41" s="39"/>
    </row>
    <row r="42" spans="1:25" ht="34.5" customHeight="1" x14ac:dyDescent="0.25">
      <c r="D42" s="134" t="s">
        <v>102</v>
      </c>
      <c r="E42" s="135"/>
      <c r="F42" s="136">
        <f>$K$17</f>
        <v>0</v>
      </c>
      <c r="G42" s="137"/>
      <c r="H42" s="150">
        <f>IF(F42=0, 0, K42/F42/$I$37)</f>
        <v>0</v>
      </c>
      <c r="I42" s="151"/>
      <c r="J42" s="152"/>
      <c r="K42" s="153">
        <f>(N42*$O$21)+N42</f>
        <v>0</v>
      </c>
      <c r="L42" s="154"/>
      <c r="M42" s="155"/>
      <c r="N42" s="220">
        <f>(R37/$F$43)*F42+U37</f>
        <v>0</v>
      </c>
      <c r="O42" s="221"/>
      <c r="P42" s="28"/>
      <c r="Q42" s="28"/>
      <c r="R42" s="28"/>
      <c r="S42" s="28"/>
      <c r="T42" s="28"/>
      <c r="X42" s="39"/>
    </row>
    <row r="43" spans="1:25" ht="15" customHeight="1" x14ac:dyDescent="0.25">
      <c r="D43" s="215" t="s">
        <v>74</v>
      </c>
      <c r="E43" s="216"/>
      <c r="F43" s="217">
        <f>SUM(F41:F42)</f>
        <v>2</v>
      </c>
      <c r="G43" s="216"/>
      <c r="H43" s="230">
        <f>K43/(F43*$I$37)</f>
        <v>4204.5714285714284</v>
      </c>
      <c r="I43" s="231"/>
      <c r="J43" s="218"/>
      <c r="K43" s="230">
        <f>K41+K42</f>
        <v>58864</v>
      </c>
      <c r="L43" s="231"/>
      <c r="M43" s="232"/>
      <c r="N43" s="218">
        <f>N41+N42</f>
        <v>56600</v>
      </c>
      <c r="O43" s="219"/>
      <c r="P43" s="30"/>
      <c r="Q43" s="28"/>
      <c r="R43" s="28"/>
      <c r="S43" s="28"/>
      <c r="T43" s="28"/>
      <c r="X43" s="39"/>
    </row>
    <row r="44" spans="1:25" ht="15" customHeight="1" x14ac:dyDescent="0.25">
      <c r="D44" s="100" t="s">
        <v>75</v>
      </c>
      <c r="E44" s="101"/>
      <c r="F44" s="101"/>
      <c r="G44" s="102"/>
      <c r="H44" s="103">
        <f>K43/F43</f>
        <v>29432</v>
      </c>
      <c r="I44" s="104"/>
      <c r="J44" s="104"/>
      <c r="K44" s="104"/>
      <c r="L44" s="104"/>
      <c r="M44" s="105"/>
      <c r="N44" s="104">
        <f>K43-N43</f>
        <v>2264</v>
      </c>
      <c r="O44" s="104"/>
      <c r="P44" s="28"/>
      <c r="Q44" s="28"/>
      <c r="R44" s="28"/>
      <c r="S44" s="28"/>
      <c r="T44" s="28"/>
      <c r="X44" s="39"/>
    </row>
    <row r="45" spans="1:25" ht="22.5" x14ac:dyDescent="0.25">
      <c r="D45" s="238" t="s">
        <v>55</v>
      </c>
      <c r="E45" s="239"/>
      <c r="F45" s="239"/>
      <c r="G45" s="239"/>
      <c r="H45" s="239"/>
      <c r="I45" s="239"/>
      <c r="J45" s="239"/>
      <c r="K45" s="239"/>
      <c r="L45" s="239"/>
      <c r="M45" s="240"/>
      <c r="N45" s="28"/>
      <c r="O45" s="28"/>
      <c r="P45" s="28"/>
      <c r="Q45" s="28"/>
      <c r="R45" s="28"/>
      <c r="S45" s="28"/>
      <c r="T45" s="28"/>
      <c r="X45" s="39"/>
    </row>
    <row r="46" spans="1:25" ht="15" customHeight="1" x14ac:dyDescent="0.25">
      <c r="D46" s="241" t="s">
        <v>56</v>
      </c>
      <c r="E46" s="242"/>
      <c r="F46" s="242"/>
      <c r="G46" s="243"/>
      <c r="H46" s="244" t="s">
        <v>57</v>
      </c>
      <c r="I46" s="242"/>
      <c r="J46" s="242"/>
      <c r="K46" s="242"/>
      <c r="L46" s="242"/>
      <c r="M46" s="245"/>
      <c r="N46" s="28"/>
      <c r="O46" s="28"/>
      <c r="P46" s="28"/>
      <c r="Q46" s="28"/>
      <c r="R46" s="28"/>
      <c r="S46" s="28"/>
      <c r="T46" s="28"/>
      <c r="X46" s="39"/>
    </row>
    <row r="47" spans="1:25" x14ac:dyDescent="0.25">
      <c r="D47" s="246" t="str">
        <f>IF(I37&lt;&gt;"","1. " &amp; TEXT(I37,"00") &amp; " nights’ stay at the hotels specified in the itinerary.","")</f>
        <v>1. 07 nights’ stay at the hotels specified in the itinerary.</v>
      </c>
      <c r="E47" s="247"/>
      <c r="F47" s="247"/>
      <c r="G47" s="247"/>
      <c r="H47" s="248" t="s">
        <v>58</v>
      </c>
      <c r="I47" s="107"/>
      <c r="J47" s="107"/>
      <c r="K47" s="107"/>
      <c r="L47" s="107"/>
      <c r="M47" s="108"/>
      <c r="X47" s="39"/>
    </row>
    <row r="48" spans="1:25" x14ac:dyDescent="0.25">
      <c r="D48" s="233" t="str">
        <f>IF(COUNTA(K26:K36)=0, "","2. Meals included: "&amp; TEXT((COUNTIF(K26:K36,"CP")+COUNTIF(K26:K36,"MAP")+COUNTIF(K26:K36,"AP"))*I26,"00") &amp; " breakfast"
&amp; IF(COUNTIF(K26:K36,"AP")&gt;0, ", " &amp; TEXT(COUNTIF(K26:K36,"AP")*I26, "00") &amp; " lunch", "")
&amp; IF((COUNTIF(K26:K36,"MAP")+COUNTIF(K26:K36,"AP"))&gt;0, " and " &amp; TEXT((COUNTIF(K26:K36,"MAP")+COUNTIF(K26:K36,"AP"))*I26,"00") &amp; " dinner", "")
&amp; IF(COUNTIF(K26:K36,"EP")=COUNTA(K26:K36), "No meals", "")
&amp; ", as per the selected meal plan.")</f>
        <v>2. Meals included: 06 breakfast and 04 dinner, as per the selected meal plan.</v>
      </c>
      <c r="E48" s="234"/>
      <c r="F48" s="234"/>
      <c r="G48" s="234"/>
      <c r="H48" s="235" t="s">
        <v>59</v>
      </c>
      <c r="I48" s="195"/>
      <c r="J48" s="195"/>
      <c r="K48" s="195"/>
      <c r="L48" s="195"/>
      <c r="M48" s="196"/>
      <c r="X48" s="39"/>
    </row>
    <row r="49" spans="4:24" x14ac:dyDescent="0.25">
      <c r="D49" s="236" t="str" cm="1">
        <f t="array" ref="D49">_xlfn.LET(_xlpm.list, _xlfn._xlws.FILTER(Q16:Q22,(Q16:Q22&lt;&gt;"")*(Q16:Q22&lt;&gt;"NA"),""),_xlpm.n,SUMPRODUCT(--(_xlpm.list&lt;&gt;"")),_xlpm.veh, O19,IF(OR(_xlpm.veh="",_xlpm.veh="NA"),"","3. All transfers and sightseeing as per the itinerary" &amp;
     IF(_xlpm.n=0,"",
        " (" &amp;
        IF(_xlpm.n=1,
           INDEX(_xlpm.list,1),_xlfn.TEXTJOIN(", ",TRUE,INDEX(_xlpm.list,_xlfn.SEQUENCE(_xlpm.n-1))) &amp; " and " &amp; INDEX(_xlpm.list,_xlpm.n)
        ) &amp; ")"
     ) &amp;
     " by " &amp; _xlpm.veh &amp; ". Air-conditioned vehicle provided in non-hill areas only."
  )
)</f>
        <v>3. All transfers and sightseeing as per the itinerary (Honeymoon Inclusions) by Sedan 4 Seater. Air-conditioned vehicle provided in non-hill areas only.</v>
      </c>
      <c r="E49" s="237"/>
      <c r="F49" s="237"/>
      <c r="G49" s="237"/>
      <c r="H49" s="235" t="s">
        <v>60</v>
      </c>
      <c r="I49" s="195"/>
      <c r="J49" s="195"/>
      <c r="K49" s="195"/>
      <c r="L49" s="195"/>
      <c r="M49" s="196"/>
      <c r="X49" s="39"/>
    </row>
    <row r="50" spans="4:24" x14ac:dyDescent="0.25">
      <c r="D50" s="236" t="str" cm="1">
        <f t="array" ref="D50">_xlfn.LET(_xlpm.activity, Q16,_xlpm.desc, IF(OR(_xlpm.activity="", _xlpm.activity="NA"), "", _xlfn.XLOOKUP(TRIM(_xlpm.activity), TRIM(ActivitiesMaster!C:C), ActivitiesMaster!D:D, "")),
    IF(_xlpm.desc="", "", "4. " &amp; _xlpm.desc)
)</f>
        <v>4. ABC</v>
      </c>
      <c r="E50" s="237"/>
      <c r="F50" s="237"/>
      <c r="G50" s="237"/>
      <c r="H50" s="235" t="s">
        <v>61</v>
      </c>
      <c r="I50" s="195"/>
      <c r="J50" s="195"/>
      <c r="K50" s="195"/>
      <c r="L50" s="195"/>
      <c r="M50" s="196"/>
      <c r="X50" s="39"/>
    </row>
    <row r="51" spans="4:24" ht="15" customHeight="1" x14ac:dyDescent="0.25">
      <c r="D51" s="236" t="str" cm="1">
        <f t="array" ref="D51">_xlfn.LET(
    _xlpm.activity, Q17,
    _xlpm.desc, IF(OR(_xlpm.activity="", _xlpm.activity="NA"), "", _xlfn.XLOOKUP(TRIM(_xlpm.activity), TRIM(ActivitiesMaster!C:C), ActivitiesMaster!D:D, "")),
    IF(_xlpm.desc="", "", "5. " &amp; _xlpm.desc)
)</f>
        <v/>
      </c>
      <c r="E51" s="237"/>
      <c r="F51" s="237"/>
      <c r="G51" s="237"/>
      <c r="H51" s="235" t="s">
        <v>62</v>
      </c>
      <c r="I51" s="195"/>
      <c r="J51" s="195"/>
      <c r="K51" s="195"/>
      <c r="L51" s="195"/>
      <c r="M51" s="196"/>
      <c r="X51" s="39"/>
    </row>
    <row r="52" spans="4:24" ht="15" customHeight="1" x14ac:dyDescent="0.25">
      <c r="D52" s="236" t="str" cm="1">
        <f t="array" ref="D52">_xlfn.LET(
    _xlpm.activity, Q18,
    _xlpm.desc, IF(OR(_xlpm.activity="", _xlpm.activity="NA"), "", _xlfn.XLOOKUP(TRIM(_xlpm.activity), TRIM(ActivitiesMaster!C:C), ActivitiesMaster!D:D, "")),
    IF(_xlpm.desc="", "", "5. " &amp; _xlpm.desc)
)</f>
        <v/>
      </c>
      <c r="E52" s="237"/>
      <c r="F52" s="237"/>
      <c r="G52" s="237"/>
      <c r="H52" s="235" t="s">
        <v>63</v>
      </c>
      <c r="I52" s="195"/>
      <c r="J52" s="195"/>
      <c r="K52" s="195"/>
      <c r="L52" s="195"/>
      <c r="M52" s="196"/>
      <c r="X52" s="39"/>
    </row>
    <row r="53" spans="4:24" ht="15" customHeight="1" x14ac:dyDescent="0.25">
      <c r="D53" s="236" t="str" cm="1">
        <f t="array" ref="D53">_xlfn.LET(
    _xlpm.activity, Q19,
    _xlpm.desc, IF(OR(_xlpm.activity="", _xlpm.activity="NA"), "", _xlfn.XLOOKUP(TRIM(_xlpm.activity), TRIM(ActivitiesMaster!C:C), ActivitiesMaster!D:D, "")),
    IF(_xlpm.desc="", "", "5. " &amp; _xlpm.desc)
)</f>
        <v/>
      </c>
      <c r="E53" s="237"/>
      <c r="F53" s="237"/>
      <c r="G53" s="237"/>
      <c r="H53" s="53"/>
      <c r="I53" s="95"/>
      <c r="J53" s="95"/>
      <c r="K53" s="95"/>
      <c r="L53" s="95"/>
      <c r="M53" s="90"/>
      <c r="X53" s="39"/>
    </row>
    <row r="54" spans="4:24" ht="15" customHeight="1" x14ac:dyDescent="0.25">
      <c r="D54" s="236" t="str" cm="1">
        <f t="array" ref="D54">_xlfn.LET(
    _xlpm.activity, Q20,
    _xlpm.desc, IF(OR(_xlpm.activity="", _xlpm.activity="NA"), "", _xlfn.XLOOKUP(TRIM(_xlpm.activity), TRIM(ActivitiesMaster!C:C), ActivitiesMaster!D:D, "")),
    IF(_xlpm.desc="", "", "5. " &amp; _xlpm.desc)
)</f>
        <v/>
      </c>
      <c r="E54" s="237"/>
      <c r="F54" s="237"/>
      <c r="G54" s="237"/>
      <c r="H54" s="53"/>
      <c r="I54" s="95"/>
      <c r="J54" s="95"/>
      <c r="K54" s="95"/>
      <c r="L54" s="95"/>
      <c r="M54" s="90"/>
      <c r="X54" s="39"/>
    </row>
    <row r="55" spans="4:24" ht="15" customHeight="1" x14ac:dyDescent="0.25">
      <c r="D55" s="236" t="str" cm="1">
        <f t="array" ref="D55">_xlfn.LET(
    _xlpm.activity, Q21,
    _xlpm.desc, IF(OR(_xlpm.activity="", _xlpm.activity="NA"), "", _xlfn.XLOOKUP(TRIM(_xlpm.activity), TRIM(ActivitiesMaster!C:C), ActivitiesMaster!D:D, "")),
    IF(_xlpm.desc="", "", "5. " &amp; _xlpm.desc)
)</f>
        <v/>
      </c>
      <c r="E55" s="237"/>
      <c r="F55" s="237"/>
      <c r="G55" s="237"/>
      <c r="H55" s="53"/>
      <c r="I55" s="95"/>
      <c r="J55" s="95"/>
      <c r="K55" s="95"/>
      <c r="L55" s="95"/>
      <c r="M55" s="90"/>
      <c r="X55" s="39"/>
    </row>
    <row r="56" spans="4:24" x14ac:dyDescent="0.25">
      <c r="D56" s="236" t="str" cm="1">
        <f t="array" ref="D56">_xlfn.LET(
    _xlpm.activity, Q22,
    _xlpm.desc, IF(OR(_xlpm.activity="", _xlpm.activity="NA"), "", _xlfn.XLOOKUP(TRIM(_xlpm.activity), TRIM(ActivitiesMaster!C:C), ActivitiesMaster!D:D, "")),
    IF(_xlpm.desc="", "", "5. " &amp; _xlpm.desc)
)</f>
        <v/>
      </c>
      <c r="E56" s="237"/>
      <c r="F56" s="237"/>
      <c r="G56" s="237"/>
      <c r="H56" s="55"/>
      <c r="I56" s="56"/>
      <c r="J56" s="56"/>
      <c r="K56" s="56"/>
      <c r="L56" s="56"/>
      <c r="M56" s="98"/>
      <c r="X56" s="39"/>
    </row>
    <row r="57" spans="4:24" x14ac:dyDescent="0.25">
      <c r="D57" s="249" t="s">
        <v>99</v>
      </c>
      <c r="E57" s="250"/>
      <c r="F57" s="250"/>
      <c r="G57" s="250"/>
      <c r="H57" s="250"/>
      <c r="I57" s="250"/>
      <c r="J57" s="250"/>
      <c r="K57" s="250"/>
      <c r="L57" s="250"/>
      <c r="M57" s="251"/>
      <c r="X57" s="39"/>
    </row>
    <row r="58" spans="4:24" ht="20.25" x14ac:dyDescent="0.25">
      <c r="D58" s="258" t="s">
        <v>80</v>
      </c>
      <c r="E58" s="259"/>
      <c r="F58" s="259"/>
      <c r="G58" s="259"/>
      <c r="H58" s="259"/>
      <c r="I58" s="259"/>
      <c r="J58" s="259"/>
      <c r="K58" s="259"/>
      <c r="L58" s="259"/>
      <c r="M58" s="260"/>
      <c r="X58" s="39"/>
    </row>
    <row r="59" spans="4:24" x14ac:dyDescent="0.25">
      <c r="D59" s="261"/>
      <c r="E59" s="262"/>
      <c r="F59" s="262"/>
      <c r="G59" s="262"/>
      <c r="H59" s="262"/>
      <c r="I59" s="262"/>
      <c r="J59" s="262"/>
      <c r="K59" s="262"/>
      <c r="L59" s="262"/>
      <c r="M59" s="263"/>
    </row>
    <row r="60" spans="4:24" x14ac:dyDescent="0.25">
      <c r="D60" s="99" t="s">
        <v>113</v>
      </c>
      <c r="E60" s="264" t="s">
        <v>126</v>
      </c>
      <c r="F60" s="264"/>
      <c r="G60" s="264"/>
      <c r="H60" s="264"/>
      <c r="I60" s="264"/>
      <c r="J60" s="264"/>
      <c r="K60" s="264"/>
      <c r="L60" s="264"/>
      <c r="M60" s="265"/>
    </row>
    <row r="61" spans="4:24" x14ac:dyDescent="0.25">
      <c r="D61" s="255"/>
      <c r="E61" s="256"/>
      <c r="F61" s="256"/>
      <c r="G61" s="256"/>
      <c r="H61" s="256"/>
      <c r="I61" s="256"/>
      <c r="J61" s="256"/>
      <c r="K61" s="256"/>
      <c r="L61" s="256"/>
      <c r="M61" s="257"/>
    </row>
    <row r="62" spans="4:24" x14ac:dyDescent="0.25">
      <c r="D62" s="255" t="str">
        <f>_xlfn.XLOOKUP(E$60,'Day Wise Exursion'!$B:$B,'Day Wise Exursion'!$C:$C)</f>
        <v>Upon arrival in Cochin, proceed to Munnar for a day of sightseeing. Start with a visit to Mattupetty Dam (additional ticket fee applies), a concrete gravity dam nestled in the mountains. Mattupetty offers a captivating blend of natural beauty, featuring sprawling tea plantations, rolling grasslands, and lush Shola forests. These forests are perfect for trekking and serve as a habitat for a wide variety of birds. Later visit Kundala Dam (ticket price extra), the famous Neela Kurunji flowers which bloom once in twelve years, bloom in the hills and valleys around Kundala lake. Enroute visit Echo Point &amp; Pothamedu View Point. Echo Point always has a greenish look as it is covered with abundant green sceneries. View Point is perfect to enjoy the spectacular beauty of the coffee, tea &amp; cardamom plantations. They are an adventurous destination, which will be a perfect choice for those who love to have a nature walk or trekking. Overnight stay at Hotel.</v>
      </c>
      <c r="E62" s="256"/>
      <c r="F62" s="256"/>
      <c r="G62" s="256"/>
      <c r="H62" s="256"/>
      <c r="I62" s="256"/>
      <c r="J62" s="256"/>
      <c r="K62" s="256"/>
      <c r="L62" s="256"/>
      <c r="M62" s="257"/>
    </row>
    <row r="63" spans="4:24" x14ac:dyDescent="0.25">
      <c r="D63" s="252"/>
      <c r="E63" s="253"/>
      <c r="F63" s="253"/>
      <c r="G63" s="253"/>
      <c r="H63" s="253"/>
      <c r="I63" s="253"/>
      <c r="J63" s="253"/>
      <c r="K63" s="253"/>
      <c r="L63" s="253"/>
      <c r="M63" s="254"/>
    </row>
    <row r="64" spans="4:24" x14ac:dyDescent="0.25">
      <c r="D64" s="99" t="s">
        <v>114</v>
      </c>
      <c r="E64" s="264" t="s">
        <v>130</v>
      </c>
      <c r="F64" s="264"/>
      <c r="G64" s="264"/>
      <c r="H64" s="264"/>
      <c r="I64" s="264"/>
      <c r="J64" s="264"/>
      <c r="K64" s="264"/>
      <c r="L64" s="264"/>
      <c r="M64" s="265"/>
    </row>
    <row r="65" spans="4:13" x14ac:dyDescent="0.25">
      <c r="D65" s="252"/>
      <c r="E65" s="253"/>
      <c r="F65" s="253"/>
      <c r="G65" s="253"/>
      <c r="H65" s="253"/>
      <c r="I65" s="253"/>
      <c r="J65" s="253"/>
      <c r="K65" s="253"/>
      <c r="L65" s="253"/>
      <c r="M65" s="254"/>
    </row>
    <row r="66" spans="4:13" ht="14.45" customHeight="1" x14ac:dyDescent="0.25">
      <c r="D66" s="255" t="str">
        <f>_xlfn.XLOOKUP(E$64,'Day Wise Exursion'!$B:$B,'Day Wise Exursion'!$C:$C)</f>
        <v>After breakfast proceed for sightseeing of Munnar. Visit Eravikulam National Park (ticket price extra) Closed for Jan 2025 till March 2025 &amp; Mattupetty Dam (ticket price extra), a storage concrete gravity dam built in the mountains. Mattupetty offers many fascinating sights to relish. Besides the tea plantations &amp; the rolling grasslands, the Shola forests in and around Mattupetty are ideal for trekking and are habitat to a variety of birds. Later visit Kundala Dam (ticket price extra), the famous Neela Kurunji flowers which bloom once in twelve years, bloom in the hills and valleys around Kundala lake. Enroute visit Echo Point &amp; Pothamedu View Point. Echo Point always has a greenish look as it is covered with abundant green sceneries. View Point is perfect to enjoy the spectacular beauty of the coffee, tea &amp; cardamom plantations. They are an adventurous destination, which will be a perfect choice for those who love to have a nature walk or trekking. Overnight stay at Hotel.</v>
      </c>
      <c r="E66" s="256"/>
      <c r="F66" s="256"/>
      <c r="G66" s="256"/>
      <c r="H66" s="256"/>
      <c r="I66" s="256"/>
      <c r="J66" s="256"/>
      <c r="K66" s="256"/>
      <c r="L66" s="256"/>
      <c r="M66" s="257"/>
    </row>
    <row r="67" spans="4:13" x14ac:dyDescent="0.25">
      <c r="D67" s="252"/>
      <c r="E67" s="253"/>
      <c r="F67" s="253"/>
      <c r="G67" s="253"/>
      <c r="H67" s="253"/>
      <c r="I67" s="253"/>
      <c r="J67" s="253"/>
      <c r="K67" s="253"/>
      <c r="L67" s="253"/>
      <c r="M67" s="254"/>
    </row>
    <row r="68" spans="4:13" x14ac:dyDescent="0.25">
      <c r="D68" s="99" t="s">
        <v>115</v>
      </c>
      <c r="E68" s="264" t="s">
        <v>134</v>
      </c>
      <c r="F68" s="264"/>
      <c r="G68" s="264"/>
      <c r="H68" s="264"/>
      <c r="I68" s="264"/>
      <c r="J68" s="264"/>
      <c r="K68" s="264"/>
      <c r="L68" s="264"/>
      <c r="M68" s="265"/>
    </row>
    <row r="69" spans="4:13" x14ac:dyDescent="0.25">
      <c r="D69" s="266"/>
      <c r="E69" s="267"/>
      <c r="F69" s="267"/>
      <c r="G69" s="267"/>
      <c r="H69" s="267"/>
      <c r="I69" s="267"/>
      <c r="J69" s="267"/>
      <c r="K69" s="267"/>
      <c r="L69" s="267"/>
      <c r="M69" s="268"/>
    </row>
    <row r="70" spans="4:13" ht="14.45" customHeight="1" x14ac:dyDescent="0.25">
      <c r="D70" s="255" t="str">
        <f>_xlfn.XLOOKUP(E$68,'Day Wise Exursion'!$B:$B,'Day Wise Exursion'!$C:$C)</f>
        <v>After breakfast, check out from hotel &amp; proceed to Thekkady.
Thekkady is considered as a heaven for natural spices. The Periyar forests of Thekkady is one of the finest wildlife reserves in India. Periyar encompasses 777 sq km &amp; a 26-sq-km artificial lake.
Check-in at hotel &amp; later head out for sightseeing to visit the Periyar Wildlife Sanctuary (ticket price extra), it is home to herds of wild Elephants, Sambar, Tigers, Gaur, Lion-tailed Macaques, Nilgiri Langurs &amp; more. The place can sometimes feel a bit like Disneyland-in-the-Ghats, but its mountain scenery &amp; jungle walks make for an enjoyable visit. Evening enjoy the boat cruise in the lake (at additional cost) to spot wild animals. Overnight stay at Hotel.</v>
      </c>
      <c r="E70" s="256"/>
      <c r="F70" s="256"/>
      <c r="G70" s="256"/>
      <c r="H70" s="256"/>
      <c r="I70" s="256"/>
      <c r="J70" s="256"/>
      <c r="K70" s="256"/>
      <c r="L70" s="256"/>
      <c r="M70" s="257"/>
    </row>
    <row r="71" spans="4:13" x14ac:dyDescent="0.25">
      <c r="D71" s="261"/>
      <c r="E71" s="262"/>
      <c r="F71" s="262"/>
      <c r="G71" s="262"/>
      <c r="H71" s="262"/>
      <c r="I71" s="262"/>
      <c r="J71" s="262"/>
      <c r="K71" s="262"/>
      <c r="L71" s="262"/>
      <c r="M71" s="263"/>
    </row>
    <row r="72" spans="4:13" x14ac:dyDescent="0.25">
      <c r="D72" s="99" t="s">
        <v>116</v>
      </c>
      <c r="E72" s="264" t="s">
        <v>136</v>
      </c>
      <c r="F72" s="264"/>
      <c r="G72" s="264"/>
      <c r="H72" s="264"/>
      <c r="I72" s="264"/>
      <c r="J72" s="264"/>
      <c r="K72" s="264"/>
      <c r="L72" s="264"/>
      <c r="M72" s="265"/>
    </row>
    <row r="73" spans="4:13" x14ac:dyDescent="0.25">
      <c r="D73" s="266"/>
      <c r="E73" s="267"/>
      <c r="F73" s="267"/>
      <c r="G73" s="267"/>
      <c r="H73" s="267"/>
      <c r="I73" s="267"/>
      <c r="J73" s="267"/>
      <c r="K73" s="267"/>
      <c r="L73" s="267"/>
      <c r="M73" s="268"/>
    </row>
    <row r="74" spans="4:13" ht="14.45" customHeight="1" x14ac:dyDescent="0.25">
      <c r="D74" s="255" t="str">
        <f>_xlfn.XLOOKUP(E$72,'Day Wise Exursion'!$B:$B,'Day Wise Exursion'!$C:$C)</f>
        <v xml:space="preserve">After breakfast, check out from hotel and proceed to Alleppey which has an immense natural beauty and is also known as the “Venice of the East”. It is famous for backwater cruising and boat race. Check into your hotel/houseboat &amp; cruise (if staying in houseboat) through the Narrow Canal amidst the Paddy Fields, Coconut Lagoons and Coir Villages in Alleppey. Overnight stay in Alleppey. </v>
      </c>
      <c r="E74" s="256"/>
      <c r="F74" s="256"/>
      <c r="G74" s="256"/>
      <c r="H74" s="256"/>
      <c r="I74" s="256"/>
      <c r="J74" s="256"/>
      <c r="K74" s="256"/>
      <c r="L74" s="256"/>
      <c r="M74" s="257"/>
    </row>
    <row r="75" spans="4:13" x14ac:dyDescent="0.25">
      <c r="D75" s="261"/>
      <c r="E75" s="262"/>
      <c r="F75" s="262"/>
      <c r="G75" s="262"/>
      <c r="H75" s="262"/>
      <c r="I75" s="262"/>
      <c r="J75" s="262"/>
      <c r="K75" s="262"/>
      <c r="L75" s="262"/>
      <c r="M75" s="263"/>
    </row>
    <row r="76" spans="4:13" x14ac:dyDescent="0.25">
      <c r="D76" s="99" t="s">
        <v>117</v>
      </c>
      <c r="E76" s="264" t="s">
        <v>152</v>
      </c>
      <c r="F76" s="264"/>
      <c r="G76" s="264"/>
      <c r="H76" s="264"/>
      <c r="I76" s="264"/>
      <c r="J76" s="264"/>
      <c r="K76" s="264"/>
      <c r="L76" s="264"/>
      <c r="M76" s="265"/>
    </row>
    <row r="77" spans="4:13" x14ac:dyDescent="0.25">
      <c r="D77" s="266"/>
      <c r="E77" s="267"/>
      <c r="F77" s="267"/>
      <c r="G77" s="267"/>
      <c r="H77" s="267"/>
      <c r="I77" s="267"/>
      <c r="J77" s="267"/>
      <c r="K77" s="267"/>
      <c r="L77" s="267"/>
      <c r="M77" s="268"/>
    </row>
    <row r="78" spans="4:13" ht="14.45" customHeight="1" x14ac:dyDescent="0.25">
      <c r="D78" s="255" t="str">
        <f>_xlfn.XLOOKUP(E$76,'Day Wise Exursion'!$B:$B,'Day Wise Exursion'!$C:$C)</f>
        <v>After breakfast in the morning, proceed for Jatayu earth's center located at a small village called Chadayamangalam in Kollam (around 65 kms from Kovalam). Its assumed that this is the place where – Jatayu, a demi-god of Hindu epic "Ramayana" having the form of a vulture, fought with Ravana - multi headed demon king of Lanka (now Sri Lanka) to prevent kidnapping of Goddess Sita, and got slain off one of his wing. The giant concrete statue of Jatayu is built on a mighty rock named Jatayupara (para means rock in Malayalam). The colossal statue is 200 feet long, 150 feet wide and 70 feet making is the largest functional bird sculpture in the world. You can take a cable car ride (on supplementary cost) to visit the Jatayu statue, audio visual museum and mini theatre. Cable car can be booked online in advance. Jatayu earth's center is spread across four hills in Chadayamangalam. The Jatayu Rock Hill represents the safety of women and their honour. The Adventure Rock Hill offers many adventure activities and nature walk. Adventure activities (all on supplementary cost) include paintball, rifle shooting, chimney climbing, rappelling, bouldering, etc. At Elephant Rock Hill, you can enjoy an overnight stay here in tented camps. The spot offers zip-lining, campfire, live music and kitchen, etc. The fourth hill, The Kitchen Rock Hill, provides a ten-day Siddha rejuvenation package.</v>
      </c>
      <c r="E78" s="256"/>
      <c r="F78" s="256"/>
      <c r="G78" s="256"/>
      <c r="H78" s="256"/>
      <c r="I78" s="256"/>
      <c r="J78" s="256"/>
      <c r="K78" s="256"/>
      <c r="L78" s="256"/>
      <c r="M78" s="257"/>
    </row>
    <row r="79" spans="4:13" x14ac:dyDescent="0.25">
      <c r="D79" s="266"/>
      <c r="E79" s="267"/>
      <c r="F79" s="267"/>
      <c r="G79" s="267"/>
      <c r="H79" s="267"/>
      <c r="I79" s="267"/>
      <c r="J79" s="267"/>
      <c r="K79" s="267"/>
      <c r="L79" s="267"/>
      <c r="M79" s="268"/>
    </row>
    <row r="80" spans="4:13" x14ac:dyDescent="0.25">
      <c r="D80" s="99" t="s">
        <v>118</v>
      </c>
      <c r="E80" s="264" t="s">
        <v>156</v>
      </c>
      <c r="F80" s="264"/>
      <c r="G80" s="264"/>
      <c r="H80" s="264"/>
      <c r="I80" s="264"/>
      <c r="J80" s="264"/>
      <c r="K80" s="264"/>
      <c r="L80" s="264"/>
      <c r="M80" s="265"/>
    </row>
    <row r="81" spans="4:13" x14ac:dyDescent="0.25">
      <c r="D81" s="269"/>
      <c r="E81" s="270"/>
      <c r="F81" s="270"/>
      <c r="G81" s="270"/>
      <c r="H81" s="270"/>
      <c r="I81" s="270"/>
      <c r="J81" s="270"/>
      <c r="K81" s="270"/>
      <c r="L81" s="270"/>
      <c r="M81" s="271"/>
    </row>
    <row r="82" spans="4:13" ht="14.45" customHeight="1" x14ac:dyDescent="0.25">
      <c r="D82" s="255" t="str">
        <f>_xlfn.XLOOKUP(E$80,'Day Wise Exursion'!$B:$B,'Day Wise Exursion'!$C:$C)</f>
        <v>After breakfast, proceed for sightseeing of Trivandrum. Visit Sri Padmanabhaswamy Temple (260 yrs old) - the most religious icon of the city built by the Travancore Royal family, here the deity Padmanabha reclines on the sacred serpent &amp; is made from over 10,000 salagramam (sacred stones) that were transported from Nepal by elephant.
Secondly, visit Puthe Maliga Palace Museum (ticket price extra) - a 200 year old palace which has carved wooden ceilings, marble sculptures &amp; imported Belgian glass. Inside you'll find Kathakali images, an armoury, portraits of maharajas, ornate thrones &amp; other artefacts.
Later proceed to Veli Tourist Village, a beautiful &amp; popular picnic spot well-known because of its serenity, the Lake that meets the Arabian Sea. The main attraction of Veli Tourist Village is a floating bridge that has been erected at this place. The place also has a floating restaurant that gives you an amazing array of food products which might match your taste buds.
By evening proceed to Shankumugham Beach, the beach is well known for its breathtaking sunset view which is such memorable moment whose beauty will refresh your mind. The beautiful sculpture of a mermaid is a major attraction here, this giant statue is more than 35m long.
Later transfer to Trivandrum airport/railway station for departure, back to home with beautiful memories of God's Own Country</v>
      </c>
      <c r="E82" s="256"/>
      <c r="F82" s="256"/>
      <c r="G82" s="256"/>
      <c r="H82" s="256"/>
      <c r="I82" s="256"/>
      <c r="J82" s="256"/>
      <c r="K82" s="256"/>
      <c r="L82" s="256"/>
      <c r="M82" s="257"/>
    </row>
    <row r="83" spans="4:13" x14ac:dyDescent="0.25">
      <c r="D83" s="255"/>
      <c r="E83" s="256"/>
      <c r="F83" s="256"/>
      <c r="G83" s="256"/>
      <c r="H83" s="256"/>
      <c r="I83" s="256"/>
      <c r="J83" s="256"/>
      <c r="K83" s="256"/>
      <c r="L83" s="256"/>
      <c r="M83" s="257"/>
    </row>
    <row r="84" spans="4:13" x14ac:dyDescent="0.25">
      <c r="D84" s="99" t="s">
        <v>119</v>
      </c>
      <c r="E84" s="264" t="s">
        <v>148</v>
      </c>
      <c r="F84" s="264"/>
      <c r="G84" s="264"/>
      <c r="H84" s="264"/>
      <c r="I84" s="264"/>
      <c r="J84" s="264"/>
      <c r="K84" s="264"/>
      <c r="L84" s="264"/>
      <c r="M84" s="265"/>
    </row>
    <row r="85" spans="4:13" x14ac:dyDescent="0.25">
      <c r="D85" s="255"/>
      <c r="E85" s="256"/>
      <c r="F85" s="256"/>
      <c r="G85" s="256"/>
      <c r="H85" s="256"/>
      <c r="I85" s="256"/>
      <c r="J85" s="256"/>
      <c r="K85" s="256"/>
      <c r="L85" s="256"/>
      <c r="M85" s="257"/>
    </row>
    <row r="86" spans="4:13" ht="14.45" customHeight="1" x14ac:dyDescent="0.25">
      <c r="D86" s="255" t="str">
        <f>_xlfn.XLOOKUP(E$84,'Day Wise Exursion'!$B:$B,'Day Wise Exursion'!$C:$C)</f>
        <v>After breakfast, embark on a scenic drive to Kanyakumari, a town enveloped by majestic hills and scenic sea-shores, adorned with coconut trees and lush paddy fields. En route, make a stop at Suchindram, a sacred site situated along the banks of the river Pazhayar. In Kanyakumari, pay a visit to the Vivekananda Rock Memorial (entrance fee required), a revered monument believed to be the site where Goddess Kanyakumari undertook her Tapas. Next, explore the Thiruvalluvar Statue, a monumental tribute to Thiruvalluvar. The pedestal of the statue stands at 38 feet tall, while the statue itself towers at 95 feet, making for a grand total of 133 feet for the entire sculpture. In the evening, return to Kovalam for an overnight stay at your hotel.</v>
      </c>
      <c r="E86" s="256"/>
      <c r="F86" s="256"/>
      <c r="G86" s="256"/>
      <c r="H86" s="256"/>
      <c r="I86" s="256"/>
      <c r="J86" s="256"/>
      <c r="K86" s="256"/>
      <c r="L86" s="256"/>
      <c r="M86" s="257"/>
    </row>
    <row r="87" spans="4:13" x14ac:dyDescent="0.25">
      <c r="D87" s="255"/>
      <c r="E87" s="256"/>
      <c r="F87" s="256"/>
      <c r="G87" s="256"/>
      <c r="H87" s="256"/>
      <c r="I87" s="256"/>
      <c r="J87" s="256"/>
      <c r="K87" s="256"/>
      <c r="L87" s="256"/>
      <c r="M87" s="257"/>
    </row>
    <row r="88" spans="4:13" x14ac:dyDescent="0.25">
      <c r="D88" s="99" t="s">
        <v>120</v>
      </c>
      <c r="E88" s="264" t="s">
        <v>130</v>
      </c>
      <c r="F88" s="264"/>
      <c r="G88" s="264"/>
      <c r="H88" s="264"/>
      <c r="I88" s="264"/>
      <c r="J88" s="264"/>
      <c r="K88" s="264"/>
      <c r="L88" s="264"/>
      <c r="M88" s="265"/>
    </row>
    <row r="89" spans="4:13" x14ac:dyDescent="0.25">
      <c r="D89" s="255"/>
      <c r="E89" s="256"/>
      <c r="F89" s="256"/>
      <c r="G89" s="256"/>
      <c r="H89" s="256"/>
      <c r="I89" s="256"/>
      <c r="J89" s="256"/>
      <c r="K89" s="256"/>
      <c r="L89" s="256"/>
      <c r="M89" s="257"/>
    </row>
    <row r="90" spans="4:13" ht="14.45" customHeight="1" x14ac:dyDescent="0.25">
      <c r="D90" s="255" t="str">
        <f>_xlfn.XLOOKUP(E$88,'Day Wise Exursion'!$B:$B,'Day Wise Exursion'!$C:$C)</f>
        <v>After breakfast proceed for sightseeing of Munnar. Visit Eravikulam National Park (ticket price extra) Closed for Jan 2025 till March 2025 &amp; Mattupetty Dam (ticket price extra), a storage concrete gravity dam built in the mountains. Mattupetty offers many fascinating sights to relish. Besides the tea plantations &amp; the rolling grasslands, the Shola forests in and around Mattupetty are ideal for trekking and are habitat to a variety of birds. Later visit Kundala Dam (ticket price extra), the famous Neela Kurunji flowers which bloom once in twelve years, bloom in the hills and valleys around Kundala lake. Enroute visit Echo Point &amp; Pothamedu View Point. Echo Point always has a greenish look as it is covered with abundant green sceneries. View Point is perfect to enjoy the spectacular beauty of the coffee, tea &amp; cardamom plantations. They are an adventurous destination, which will be a perfect choice for those who love to have a nature walk or trekking. Overnight stay at Hotel.</v>
      </c>
      <c r="E90" s="256"/>
      <c r="F90" s="256"/>
      <c r="G90" s="256"/>
      <c r="H90" s="256"/>
      <c r="I90" s="256"/>
      <c r="J90" s="256"/>
      <c r="K90" s="256"/>
      <c r="L90" s="256"/>
      <c r="M90" s="257"/>
    </row>
    <row r="91" spans="4:13" x14ac:dyDescent="0.25">
      <c r="D91" s="255"/>
      <c r="E91" s="256"/>
      <c r="F91" s="256"/>
      <c r="G91" s="256"/>
      <c r="H91" s="256"/>
      <c r="I91" s="256"/>
      <c r="J91" s="256"/>
      <c r="K91" s="256"/>
      <c r="L91" s="256"/>
      <c r="M91" s="257"/>
    </row>
    <row r="92" spans="4:13" x14ac:dyDescent="0.25">
      <c r="D92" s="99" t="s">
        <v>121</v>
      </c>
      <c r="E92" s="264" t="s">
        <v>146</v>
      </c>
      <c r="F92" s="264"/>
      <c r="G92" s="264"/>
      <c r="H92" s="264"/>
      <c r="I92" s="264"/>
      <c r="J92" s="264"/>
      <c r="K92" s="264"/>
      <c r="L92" s="264"/>
      <c r="M92" s="265"/>
    </row>
    <row r="93" spans="4:13" x14ac:dyDescent="0.25">
      <c r="D93" s="255"/>
      <c r="E93" s="256"/>
      <c r="F93" s="256"/>
      <c r="G93" s="256"/>
      <c r="H93" s="256"/>
      <c r="I93" s="256"/>
      <c r="J93" s="256"/>
      <c r="K93" s="256"/>
      <c r="L93" s="256"/>
      <c r="M93" s="257"/>
    </row>
    <row r="94" spans="4:13" ht="14.45" customHeight="1" x14ac:dyDescent="0.25">
      <c r="D94" s="255" t="str">
        <f>_xlfn.XLOOKUP(E$92,'Day Wise Exursion'!$B:$B,'Day Wise Exursion'!$C:$C)</f>
        <v>After breakfast proceed for sightseeing of Trivandrum, city of the Holy Ananth which is named after Ananthan, the cosmic serpent with a thousand heads. Visit Sri Padmanabhaswamy Temple (260 yrs old) - the most religious icon of the city built by the Travancore Royal family, here the deity Padmanabha reclines on the sacred serpent &amp; is made from over 10,000 salagramam (sacred stones) that were transported from Nepal by elephant. Secondly, visit Puthe Maliga Palace Museum (ticket price extra) - a 200 year old palace which has carved wooden ceilings, marble sculptures &amp; imported Belgian glass. Inside you'll find Kathakali images, an armoury, portraits of maharajas, ornate thrones &amp; other artefacts. Later proceed to Veli Tourist Village, a beautiful &amp; popular picnic spot well-known because of its serenity, the Lake that meets the Arabian Sea. The main attraction of Veli Tourist Village is a floating bridge that has been erected at this place. The place also has a floating restaurant that gives you an amazing array of food products which might match your taste buds. By evening proceed to Shankumugham Beach, the beach is well known for its breathtaking sunset view which is such memorable moment whose beauty will refresh your mind. The beautiful sculpture of a mermaid is a major attraction here, this giant statue is more than 35m long. Later return to Kovalam. Overnight stay at the Hotel. less
Sree Padmanabhaswamy Temple, Shanghumukham Beach, Veli Tourist Village, Kuthiramalika Palace Museum are also covered on Day 7 (Transfer to Trivandrum + Sightseeing of Trivandrum + Departure from Trivandrum); Kuthiramalika Palace Museum - Closed</v>
      </c>
      <c r="E94" s="256"/>
      <c r="F94" s="256"/>
      <c r="G94" s="256"/>
      <c r="H94" s="256"/>
      <c r="I94" s="256"/>
      <c r="J94" s="256"/>
      <c r="K94" s="256"/>
      <c r="L94" s="256"/>
      <c r="M94" s="257"/>
    </row>
    <row r="95" spans="4:13" x14ac:dyDescent="0.25">
      <c r="D95" s="255"/>
      <c r="E95" s="256"/>
      <c r="F95" s="256"/>
      <c r="G95" s="256"/>
      <c r="H95" s="256"/>
      <c r="I95" s="256"/>
      <c r="J95" s="256"/>
      <c r="K95" s="256"/>
      <c r="L95" s="256"/>
      <c r="M95" s="257"/>
    </row>
    <row r="96" spans="4:13" x14ac:dyDescent="0.25">
      <c r="D96" s="99" t="s">
        <v>122</v>
      </c>
      <c r="E96" s="264" t="s">
        <v>140</v>
      </c>
      <c r="F96" s="264"/>
      <c r="G96" s="264"/>
      <c r="H96" s="264"/>
      <c r="I96" s="264"/>
      <c r="J96" s="264"/>
      <c r="K96" s="264"/>
      <c r="L96" s="264"/>
      <c r="M96" s="265"/>
    </row>
    <row r="97" spans="4:13" x14ac:dyDescent="0.25">
      <c r="D97" s="255"/>
      <c r="E97" s="256"/>
      <c r="F97" s="256"/>
      <c r="G97" s="256"/>
      <c r="H97" s="256"/>
      <c r="I97" s="256"/>
      <c r="J97" s="256"/>
      <c r="K97" s="256"/>
      <c r="L97" s="256"/>
      <c r="M97" s="257"/>
    </row>
    <row r="98" spans="4:13" ht="14.45" customHeight="1" x14ac:dyDescent="0.25">
      <c r="D98" s="255" t="str">
        <f>_xlfn.XLOOKUP(E$96,'Day Wise Exursion'!$B:$B,'Day Wise Exursion'!$C:$C)</f>
        <v>After breakfast check out from hotel &amp; proceed to Trivandrum, city of the Holy Ananth which is named after Ananthan, the cosmic serpent with a thousand heads. Visit Sri Padmanabhaswamy Temple (260 yrs old) - the most religious icon of the city built by the Travancore Royal family, here the deity Padmanabha reclines on the sacred serpent &amp; is made from over 10,000 salagramam (sacred stones) that were transported from Nepal by elephant. Poovar is one among the natural wonders where the Lake, River, Sea and Beach meet the land. A rare find in Kerala. Poovar is basically a fishing village and the only way to reach Poovar is through water, it is known for its pristine and virginal beauty, Poovar Beach is haunted by those who love solitude. Later proceed to Kovalam. Kovalam is an internationally renowned beach destination with three adjacent crescent beaches &amp; also known as the "Paradise of the South". On arrival check in at the hotel &amp; relax for a while amidst the comforts of your room. By evening explore on your own to see how the everlasting sea touches the everlasting sky. Kovalam is the place where one can see the golden sand at the day time &amp; silver sand in the night, with high rock promontory &amp; a calm bay of blue waters, this beach paradise creates a unique aquarelle on moonlight nights. Overnight stay at Hotel.</v>
      </c>
      <c r="E98" s="256"/>
      <c r="F98" s="256"/>
      <c r="G98" s="256"/>
      <c r="H98" s="256"/>
      <c r="I98" s="256"/>
      <c r="J98" s="256"/>
      <c r="K98" s="256"/>
      <c r="L98" s="256"/>
      <c r="M98" s="257"/>
    </row>
    <row r="99" spans="4:13" x14ac:dyDescent="0.25">
      <c r="D99" s="266"/>
      <c r="E99" s="267"/>
      <c r="F99" s="267"/>
      <c r="G99" s="267"/>
      <c r="H99" s="267"/>
      <c r="I99" s="267"/>
      <c r="J99" s="267"/>
      <c r="K99" s="267"/>
      <c r="L99" s="267"/>
      <c r="M99" s="268"/>
    </row>
    <row r="100" spans="4:13" ht="22.5" x14ac:dyDescent="0.25">
      <c r="D100" s="275" t="s">
        <v>64</v>
      </c>
      <c r="E100" s="276"/>
      <c r="F100" s="276"/>
      <c r="G100" s="276"/>
      <c r="H100" s="276"/>
      <c r="I100" s="276"/>
      <c r="J100" s="276"/>
      <c r="K100" s="276"/>
      <c r="L100" s="276"/>
      <c r="M100" s="277"/>
    </row>
    <row r="101" spans="4:13" x14ac:dyDescent="0.25">
      <c r="D101" s="266"/>
      <c r="E101" s="267"/>
      <c r="F101" s="267"/>
      <c r="G101" s="267"/>
      <c r="H101" s="267"/>
      <c r="I101" s="267"/>
      <c r="J101" s="267"/>
      <c r="K101" s="267"/>
      <c r="L101" s="267"/>
      <c r="M101" s="268"/>
    </row>
    <row r="102" spans="4:13" x14ac:dyDescent="0.25">
      <c r="D102" s="194" t="s">
        <v>65</v>
      </c>
      <c r="E102" s="195"/>
      <c r="F102" s="195"/>
      <c r="G102" s="195"/>
      <c r="H102" s="195"/>
      <c r="I102" s="195"/>
      <c r="J102" s="195"/>
      <c r="K102" s="195"/>
      <c r="L102" s="195"/>
      <c r="M102" s="196"/>
    </row>
    <row r="103" spans="4:13" x14ac:dyDescent="0.25">
      <c r="D103" s="194"/>
      <c r="E103" s="195"/>
      <c r="F103" s="195"/>
      <c r="G103" s="195"/>
      <c r="H103" s="195"/>
      <c r="I103" s="195"/>
      <c r="J103" s="195"/>
      <c r="K103" s="195"/>
      <c r="L103" s="195"/>
      <c r="M103" s="196"/>
    </row>
    <row r="104" spans="4:13" x14ac:dyDescent="0.25">
      <c r="D104" s="194" t="s">
        <v>66</v>
      </c>
      <c r="E104" s="195"/>
      <c r="F104" s="195"/>
      <c r="G104" s="195"/>
      <c r="H104" s="195"/>
      <c r="I104" s="195"/>
      <c r="J104" s="195"/>
      <c r="K104" s="195"/>
      <c r="L104" s="195"/>
      <c r="M104" s="196"/>
    </row>
    <row r="105" spans="4:13" x14ac:dyDescent="0.25">
      <c r="D105" s="194"/>
      <c r="E105" s="195"/>
      <c r="F105" s="195"/>
      <c r="G105" s="195"/>
      <c r="H105" s="195"/>
      <c r="I105" s="195"/>
      <c r="J105" s="195"/>
      <c r="K105" s="195"/>
      <c r="L105" s="195"/>
      <c r="M105" s="196"/>
    </row>
    <row r="106" spans="4:13" x14ac:dyDescent="0.25">
      <c r="D106" s="194" t="s">
        <v>67</v>
      </c>
      <c r="E106" s="195"/>
      <c r="F106" s="195"/>
      <c r="G106" s="195"/>
      <c r="H106" s="195"/>
      <c r="I106" s="195"/>
      <c r="J106" s="195"/>
      <c r="K106" s="195"/>
      <c r="L106" s="195"/>
      <c r="M106" s="196"/>
    </row>
    <row r="107" spans="4:13" x14ac:dyDescent="0.25">
      <c r="D107" s="194"/>
      <c r="E107" s="195"/>
      <c r="F107" s="195"/>
      <c r="G107" s="195"/>
      <c r="H107" s="195"/>
      <c r="I107" s="195"/>
      <c r="J107" s="195"/>
      <c r="K107" s="195"/>
      <c r="L107" s="195"/>
      <c r="M107" s="196"/>
    </row>
    <row r="108" spans="4:13" x14ac:dyDescent="0.25">
      <c r="D108" s="194" t="s">
        <v>68</v>
      </c>
      <c r="E108" s="195"/>
      <c r="F108" s="195"/>
      <c r="G108" s="195"/>
      <c r="H108" s="195"/>
      <c r="I108" s="195"/>
      <c r="J108" s="195"/>
      <c r="K108" s="195"/>
      <c r="L108" s="195"/>
      <c r="M108" s="196"/>
    </row>
    <row r="109" spans="4:13" x14ac:dyDescent="0.25">
      <c r="D109" s="272"/>
      <c r="E109" s="273"/>
      <c r="F109" s="273"/>
      <c r="G109" s="273"/>
      <c r="H109" s="273"/>
      <c r="I109" s="273"/>
      <c r="J109" s="273"/>
      <c r="K109" s="273"/>
      <c r="L109" s="273"/>
      <c r="M109" s="274"/>
    </row>
    <row r="110" spans="4:13" ht="22.5" x14ac:dyDescent="0.25">
      <c r="D110" s="275" t="s">
        <v>69</v>
      </c>
      <c r="E110" s="276"/>
      <c r="F110" s="276"/>
      <c r="G110" s="276"/>
      <c r="H110" s="276"/>
      <c r="I110" s="276"/>
      <c r="J110" s="276"/>
      <c r="K110" s="276"/>
      <c r="L110" s="276"/>
      <c r="M110" s="277"/>
    </row>
    <row r="111" spans="4:13" x14ac:dyDescent="0.25">
      <c r="D111" s="266"/>
      <c r="E111" s="267"/>
      <c r="F111" s="267"/>
      <c r="G111" s="267"/>
      <c r="H111" s="267"/>
      <c r="I111" s="267"/>
      <c r="J111" s="267"/>
      <c r="K111" s="267"/>
      <c r="L111" s="267"/>
      <c r="M111" s="268"/>
    </row>
    <row r="112" spans="4:13" ht="15.75" thickBot="1" x14ac:dyDescent="0.3">
      <c r="D112" s="278"/>
      <c r="E112" s="279"/>
      <c r="F112" s="279"/>
      <c r="G112" s="279"/>
      <c r="H112" s="279"/>
      <c r="I112" s="279"/>
      <c r="J112" s="279"/>
      <c r="K112" s="279"/>
      <c r="L112" s="279"/>
      <c r="M112" s="280"/>
    </row>
  </sheetData>
  <mergeCells count="135">
    <mergeCell ref="E92:M92"/>
    <mergeCell ref="D108:M108"/>
    <mergeCell ref="D109:M109"/>
    <mergeCell ref="D110:M110"/>
    <mergeCell ref="D111:M111"/>
    <mergeCell ref="D112:M112"/>
    <mergeCell ref="D103:M103"/>
    <mergeCell ref="D104:M104"/>
    <mergeCell ref="D105:M105"/>
    <mergeCell ref="D106:M106"/>
    <mergeCell ref="D107:M107"/>
    <mergeCell ref="D98:M98"/>
    <mergeCell ref="D99:M99"/>
    <mergeCell ref="D100:M100"/>
    <mergeCell ref="D101:M101"/>
    <mergeCell ref="D102:M102"/>
    <mergeCell ref="D93:M93"/>
    <mergeCell ref="D94:M94"/>
    <mergeCell ref="D95:M95"/>
    <mergeCell ref="D97:M97"/>
    <mergeCell ref="E96:M96"/>
    <mergeCell ref="D91:M91"/>
    <mergeCell ref="D83:M83"/>
    <mergeCell ref="D85:M85"/>
    <mergeCell ref="D86:M86"/>
    <mergeCell ref="D87:M87"/>
    <mergeCell ref="D78:M78"/>
    <mergeCell ref="D79:M79"/>
    <mergeCell ref="D81:M81"/>
    <mergeCell ref="D82:M82"/>
    <mergeCell ref="D89:M89"/>
    <mergeCell ref="D90:M90"/>
    <mergeCell ref="E80:M80"/>
    <mergeCell ref="E84:M84"/>
    <mergeCell ref="E88:M88"/>
    <mergeCell ref="D73:M73"/>
    <mergeCell ref="D74:M74"/>
    <mergeCell ref="D75:M75"/>
    <mergeCell ref="D77:M77"/>
    <mergeCell ref="D69:M69"/>
    <mergeCell ref="D70:M70"/>
    <mergeCell ref="D71:M71"/>
    <mergeCell ref="E68:M68"/>
    <mergeCell ref="E72:M72"/>
    <mergeCell ref="E76:M76"/>
    <mergeCell ref="D63:M63"/>
    <mergeCell ref="D65:M65"/>
    <mergeCell ref="D66:M66"/>
    <mergeCell ref="D67:M67"/>
    <mergeCell ref="D58:M58"/>
    <mergeCell ref="D59:M59"/>
    <mergeCell ref="D61:M61"/>
    <mergeCell ref="D62:M62"/>
    <mergeCell ref="E60:M60"/>
    <mergeCell ref="E64:M64"/>
    <mergeCell ref="D51:G51"/>
    <mergeCell ref="H51:M51"/>
    <mergeCell ref="D56:G56"/>
    <mergeCell ref="H52:M52"/>
    <mergeCell ref="D57:M57"/>
    <mergeCell ref="D52:G52"/>
    <mergeCell ref="D53:G53"/>
    <mergeCell ref="D54:G54"/>
    <mergeCell ref="D55:G55"/>
    <mergeCell ref="D48:G48"/>
    <mergeCell ref="H48:M48"/>
    <mergeCell ref="D49:G49"/>
    <mergeCell ref="H49:M49"/>
    <mergeCell ref="D50:G50"/>
    <mergeCell ref="H50:M50"/>
    <mergeCell ref="D45:M45"/>
    <mergeCell ref="D46:G46"/>
    <mergeCell ref="H46:M46"/>
    <mergeCell ref="D47:G47"/>
    <mergeCell ref="H47:M47"/>
    <mergeCell ref="R38:T38"/>
    <mergeCell ref="N38:Q38"/>
    <mergeCell ref="D24:M24"/>
    <mergeCell ref="T24:V24"/>
    <mergeCell ref="O24:S24"/>
    <mergeCell ref="D43:E43"/>
    <mergeCell ref="F43:G43"/>
    <mergeCell ref="N43:O43"/>
    <mergeCell ref="D42:E42"/>
    <mergeCell ref="F42:G42"/>
    <mergeCell ref="N42:O42"/>
    <mergeCell ref="N41:O41"/>
    <mergeCell ref="D39:M39"/>
    <mergeCell ref="D40:E40"/>
    <mergeCell ref="F40:G40"/>
    <mergeCell ref="N40:O40"/>
    <mergeCell ref="H42:J42"/>
    <mergeCell ref="K42:M42"/>
    <mergeCell ref="H43:J43"/>
    <mergeCell ref="K43:M43"/>
    <mergeCell ref="D2:G5"/>
    <mergeCell ref="H2:M5"/>
    <mergeCell ref="D6:M6"/>
    <mergeCell ref="D7:M7"/>
    <mergeCell ref="D8:M8"/>
    <mergeCell ref="D15:M15"/>
    <mergeCell ref="D16:E16"/>
    <mergeCell ref="K16:M16"/>
    <mergeCell ref="D17:E17"/>
    <mergeCell ref="F17:G17"/>
    <mergeCell ref="H17:I17"/>
    <mergeCell ref="K17:M17"/>
    <mergeCell ref="D10:M10"/>
    <mergeCell ref="D11:M11"/>
    <mergeCell ref="D12:M12"/>
    <mergeCell ref="D13:M13"/>
    <mergeCell ref="D14:M14"/>
    <mergeCell ref="F16:G16"/>
    <mergeCell ref="H16:J16"/>
    <mergeCell ref="D44:G44"/>
    <mergeCell ref="H44:M44"/>
    <mergeCell ref="N44:O44"/>
    <mergeCell ref="D9:M9"/>
    <mergeCell ref="D20:M22"/>
    <mergeCell ref="J37:M37"/>
    <mergeCell ref="F18:G18"/>
    <mergeCell ref="H18:I18"/>
    <mergeCell ref="K18:M18"/>
    <mergeCell ref="D19:E19"/>
    <mergeCell ref="F19:I19"/>
    <mergeCell ref="K19:M19"/>
    <mergeCell ref="D23:M23"/>
    <mergeCell ref="D41:E41"/>
    <mergeCell ref="F41:G41"/>
    <mergeCell ref="D38:M38"/>
    <mergeCell ref="D37:F37"/>
    <mergeCell ref="H40:J40"/>
    <mergeCell ref="K40:M40"/>
    <mergeCell ref="H41:J41"/>
    <mergeCell ref="K41:M41"/>
  </mergeCells>
  <phoneticPr fontId="2" type="noConversion"/>
  <dataValidations count="6">
    <dataValidation type="list" allowBlank="1" showInputMessage="1" showErrorMessage="1" sqref="O16" xr:uid="{1E729713-3CF7-4B48-9712-E2F356637219}">
      <formula1>" Double, Triple"</formula1>
    </dataValidation>
    <dataValidation type="list" allowBlank="1" showInputMessage="1" showErrorMessage="1" sqref="D26:D36" xr:uid="{C663D4C5-1C8F-492D-9E8B-7CCE19656124}">
      <formula1>City</formula1>
    </dataValidation>
    <dataValidation type="list" allowBlank="1" showInputMessage="1" showErrorMessage="1" sqref="I26:I33" xr:uid="{D5BDDA4E-8514-43A8-B716-2B9F16F49446}">
      <formula1>"0,1,2,3,4,5,6"</formula1>
    </dataValidation>
    <dataValidation type="list" allowBlank="1" showInputMessage="1" showErrorMessage="1" sqref="O21" xr:uid="{EB804344-E19D-4905-A466-3EFEECD8BC31}">
      <formula1>"4%,5%,6%,7%,8%,9%,10%,11%,12%,13%,14%,15%,16%,17%,18%,19%,20%,21%,22%,23%,24%,25%,26%,27%,28%,29%,30%,31%,32%,33%,34%,35%,36%,37%,38%,39%,40%"</formula1>
    </dataValidation>
    <dataValidation type="list" allowBlank="1" showInputMessage="1" showErrorMessage="1" sqref="P16" xr:uid="{8E4504F4-9EA6-4770-9B37-5FE992CC790A}">
      <formula1>"PVT Sightseeing,SIC Sightseeing"</formula1>
    </dataValidation>
    <dataValidation type="list" allowBlank="1" showInputMessage="1" showErrorMessage="1" sqref="K26:K36" xr:uid="{92E2D61C-F9C4-436C-8AC5-04447F6FA548}">
      <formula1>"MAP, CP, AP,EP"</formula1>
    </dataValidation>
  </dataValidations>
  <hyperlinks>
    <hyperlink ref="D1" r:id="rId1" xr:uid="{195CCA78-8DEE-457A-B3C7-42D8BD2338C5}"/>
  </hyperlinks>
  <pageMargins left="0.7" right="0.7" top="0.75" bottom="0.75" header="0.3" footer="0.3"/>
  <pageSetup paperSize="9" fitToWidth="0" fitToHeight="0" orientation="portrait" r:id="rId2"/>
  <ignoredErrors>
    <ignoredError sqref="R37 V37" formula="1"/>
  </ignoredErrors>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46A82A57-E937-4CB1-8A90-2837516742A3}">
          <x14:formula1>
            <xm:f>Price!$J$2:$J$11</xm:f>
          </x14:formula1>
          <xm:sqref>O19</xm:sqref>
        </x14:dataValidation>
        <x14:dataValidation type="list" allowBlank="1" showInputMessage="1" showErrorMessage="1" xr:uid="{74383C93-EEFF-407F-A815-4D0D6EC90859}">
          <x14:formula1>
            <xm:f>Price!$G$2:$G$5</xm:f>
          </x14:formula1>
          <xm:sqref>O17</xm:sqref>
        </x14:dataValidation>
        <x14:dataValidation type="list" allowBlank="1" showInputMessage="1" showErrorMessage="1" xr:uid="{E24F0873-320F-43FA-B500-EBA0929CD196}">
          <x14:formula1>
            <xm:f>_xlfn.XLOOKUP($D26,Sheet2!$H$23:$Z$23,Sheet2!$H$24:$Z$400)</xm:f>
          </x14:formula1>
          <xm:sqref>E26:E36</xm:sqref>
        </x14:dataValidation>
        <x14:dataValidation type="list" allowBlank="1" showInputMessage="1" showErrorMessage="1" xr:uid="{B43EB916-2171-4908-AF55-6A1DA27AD3B3}">
          <x14:formula1>
            <xm:f>ActivitiesMaster!$D$14:$H$14</xm:f>
          </x14:formula1>
          <xm:sqref>H18:I18 E18</xm:sqref>
        </x14:dataValidation>
        <x14:dataValidation type="list" allowBlank="1" showInputMessage="1" showErrorMessage="1" xr:uid="{82D69E04-97EB-4CA6-BE81-E7BF438C0377}">
          <x14:formula1>
            <xm:f>'Day Wise Exursion'!$B:$B</xm:f>
          </x14:formula1>
          <xm:sqref>E88 E84 E60 E64 E68 E92 E72 E76 E80 E96</xm:sqref>
        </x14:dataValidation>
        <x14:dataValidation type="list" allowBlank="1" showInputMessage="1" showErrorMessage="1" xr:uid="{C72F705B-5758-42D8-9D07-F1ADB94546A3}">
          <x14:formula1>
            <xm:f>ActivitiesMaster!$C$2:$C$10</xm:f>
          </x14:formula1>
          <xm:sqref>Q16:Q22</xm:sqref>
        </x14:dataValidation>
        <x14:dataValidation type="list" allowBlank="1" showInputMessage="1" showErrorMessage="1" xr:uid="{660FFF10-B902-4037-9AF1-D8DA8E387391}">
          <x14:formula1>
            <xm:f>_xlfn.XLOOKUP($E26,Sheet2!$H$12:$KT$12,Sheet2!$H$13:$KT$400)</xm:f>
          </x14:formula1>
          <xm:sqref>F26:F36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2246-C4FF-42BA-BA7D-E72C2862243A}">
  <sheetPr codeName="Sheet2"/>
  <dimension ref="B2:M190"/>
  <sheetViews>
    <sheetView showGridLines="0" topLeftCell="A169" zoomScaleNormal="100" workbookViewId="0">
      <selection activeCell="D17" sqref="D17"/>
    </sheetView>
  </sheetViews>
  <sheetFormatPr defaultRowHeight="15" x14ac:dyDescent="0.25"/>
  <cols>
    <col min="2" max="2" width="20" bestFit="1" customWidth="1"/>
    <col min="3" max="3" width="11.28515625" bestFit="1" customWidth="1"/>
    <col min="4" max="4" width="39.140625" bestFit="1" customWidth="1"/>
    <col min="5" max="5" width="28.5703125" bestFit="1" customWidth="1"/>
    <col min="6" max="6" width="10.28515625" style="39" bestFit="1" customWidth="1"/>
    <col min="7" max="7" width="10.5703125" bestFit="1" customWidth="1"/>
    <col min="8" max="8" width="11.85546875" bestFit="1" customWidth="1"/>
    <col min="9" max="9" width="10.28515625" bestFit="1" customWidth="1"/>
    <col min="10" max="10" width="8.85546875" bestFit="1" customWidth="1"/>
    <col min="11" max="11" width="9.140625" bestFit="1" customWidth="1"/>
    <col min="12" max="12" width="10.42578125" bestFit="1" customWidth="1"/>
    <col min="13" max="13" width="8.85546875" bestFit="1" customWidth="1"/>
    <col min="17" max="17" width="20.5703125" bestFit="1" customWidth="1"/>
  </cols>
  <sheetData>
    <row r="2" spans="2:13" x14ac:dyDescent="0.25">
      <c r="B2" s="4" t="s">
        <v>0</v>
      </c>
      <c r="C2" s="5" t="s">
        <v>1</v>
      </c>
      <c r="D2" s="5" t="s">
        <v>2</v>
      </c>
      <c r="E2" s="5" t="s">
        <v>3</v>
      </c>
      <c r="F2" s="5" t="s">
        <v>35</v>
      </c>
      <c r="G2" s="5" t="s">
        <v>36</v>
      </c>
      <c r="H2" s="5" t="s">
        <v>37</v>
      </c>
      <c r="I2" s="6" t="s">
        <v>38</v>
      </c>
      <c r="J2" s="5" t="s">
        <v>31</v>
      </c>
      <c r="K2" s="5" t="s">
        <v>32</v>
      </c>
      <c r="L2" s="5" t="s">
        <v>33</v>
      </c>
      <c r="M2" s="5" t="s">
        <v>34</v>
      </c>
    </row>
    <row r="3" spans="2:13" x14ac:dyDescent="0.25">
      <c r="B3" s="2" t="s">
        <v>162</v>
      </c>
      <c r="C3" s="1" t="s">
        <v>159</v>
      </c>
      <c r="D3" s="1" t="s">
        <v>383</v>
      </c>
      <c r="E3" s="45" t="s">
        <v>169</v>
      </c>
      <c r="F3" s="1"/>
      <c r="G3" s="1">
        <v>3900</v>
      </c>
      <c r="H3" s="1">
        <v>5100</v>
      </c>
      <c r="I3" s="3"/>
      <c r="J3" s="19"/>
      <c r="K3" s="19"/>
      <c r="L3" s="19"/>
      <c r="M3" s="19"/>
    </row>
    <row r="4" spans="2:13" x14ac:dyDescent="0.25">
      <c r="B4" s="2" t="s">
        <v>158</v>
      </c>
      <c r="C4" s="1" t="s">
        <v>161</v>
      </c>
      <c r="D4" s="1" t="s">
        <v>160</v>
      </c>
      <c r="E4" s="1" t="s">
        <v>164</v>
      </c>
      <c r="F4" s="1"/>
      <c r="G4" s="1">
        <v>7200</v>
      </c>
      <c r="H4" s="1">
        <v>9100</v>
      </c>
      <c r="I4" s="3">
        <v>13500</v>
      </c>
      <c r="J4" s="1"/>
      <c r="K4" s="1"/>
      <c r="L4" s="1"/>
      <c r="M4" s="1"/>
    </row>
    <row r="5" spans="2:13" x14ac:dyDescent="0.25">
      <c r="B5" s="2" t="s">
        <v>158</v>
      </c>
      <c r="C5" s="1" t="s">
        <v>172</v>
      </c>
      <c r="D5" s="1" t="s">
        <v>160</v>
      </c>
      <c r="E5" s="1" t="s">
        <v>165</v>
      </c>
      <c r="F5" s="1"/>
      <c r="G5" s="1">
        <v>9500</v>
      </c>
      <c r="H5" s="1">
        <v>11400</v>
      </c>
      <c r="I5" s="3">
        <v>15800</v>
      </c>
      <c r="J5" s="1"/>
      <c r="K5" s="1"/>
      <c r="L5" s="1"/>
      <c r="M5" s="1"/>
    </row>
    <row r="6" spans="2:13" x14ac:dyDescent="0.25">
      <c r="B6" s="2" t="s">
        <v>158</v>
      </c>
      <c r="C6" s="1" t="s">
        <v>173</v>
      </c>
      <c r="D6" s="1" t="s">
        <v>160</v>
      </c>
      <c r="E6" s="1" t="s">
        <v>166</v>
      </c>
      <c r="F6" s="1"/>
      <c r="G6" s="1">
        <v>12000</v>
      </c>
      <c r="H6" s="1">
        <v>13900</v>
      </c>
      <c r="I6" s="3">
        <v>18300</v>
      </c>
      <c r="J6" s="1"/>
      <c r="K6" s="1"/>
      <c r="L6" s="1"/>
      <c r="M6" s="1"/>
    </row>
    <row r="7" spans="2:13" x14ac:dyDescent="0.25">
      <c r="B7" s="2" t="s">
        <v>158</v>
      </c>
      <c r="C7" s="1" t="s">
        <v>174</v>
      </c>
      <c r="D7" s="1" t="s">
        <v>160</v>
      </c>
      <c r="E7" s="1" t="s">
        <v>167</v>
      </c>
      <c r="F7" s="1"/>
      <c r="G7" s="1">
        <v>14500</v>
      </c>
      <c r="H7" s="1">
        <v>16400</v>
      </c>
      <c r="I7" s="3">
        <v>20800</v>
      </c>
      <c r="J7" s="1"/>
      <c r="K7" s="1"/>
      <c r="L7" s="1"/>
      <c r="M7" s="1"/>
    </row>
    <row r="8" spans="2:13" x14ac:dyDescent="0.25">
      <c r="B8" s="2" t="s">
        <v>158</v>
      </c>
      <c r="C8" s="1" t="s">
        <v>175</v>
      </c>
      <c r="D8" s="1" t="s">
        <v>160</v>
      </c>
      <c r="E8" s="1" t="s">
        <v>40</v>
      </c>
      <c r="F8" s="1"/>
      <c r="G8" s="1">
        <v>2000</v>
      </c>
      <c r="H8" s="1">
        <v>2950</v>
      </c>
      <c r="I8" s="3">
        <v>3950</v>
      </c>
      <c r="J8" s="1"/>
      <c r="K8" s="1"/>
      <c r="L8" s="1"/>
      <c r="M8" s="1"/>
    </row>
    <row r="9" spans="2:13" x14ac:dyDescent="0.25">
      <c r="B9" s="2" t="s">
        <v>158</v>
      </c>
      <c r="C9" s="1" t="s">
        <v>176</v>
      </c>
      <c r="D9" s="1" t="s">
        <v>160</v>
      </c>
      <c r="E9" s="1" t="s">
        <v>42</v>
      </c>
      <c r="F9" s="1"/>
      <c r="G9" s="1">
        <v>1250</v>
      </c>
      <c r="H9" s="1">
        <v>1700</v>
      </c>
      <c r="I9" s="3">
        <v>2150</v>
      </c>
      <c r="J9" s="1"/>
      <c r="K9" s="1"/>
      <c r="L9" s="1"/>
      <c r="M9" s="1"/>
    </row>
    <row r="10" spans="2:13" x14ac:dyDescent="0.25">
      <c r="B10" s="2" t="s">
        <v>158</v>
      </c>
      <c r="C10" s="1" t="s">
        <v>177</v>
      </c>
      <c r="D10" s="1" t="s">
        <v>160</v>
      </c>
      <c r="E10" s="1" t="s">
        <v>41</v>
      </c>
      <c r="F10" s="1"/>
      <c r="G10" s="1">
        <v>700</v>
      </c>
      <c r="H10" s="1">
        <v>1150</v>
      </c>
      <c r="I10" s="3">
        <v>1600</v>
      </c>
      <c r="J10" s="1"/>
      <c r="K10" s="1"/>
      <c r="L10" s="1"/>
      <c r="M10" s="1"/>
    </row>
    <row r="11" spans="2:13" x14ac:dyDescent="0.25">
      <c r="B11" s="2" t="s">
        <v>158</v>
      </c>
      <c r="C11" s="1" t="s">
        <v>178</v>
      </c>
      <c r="D11" s="1" t="s">
        <v>168</v>
      </c>
      <c r="E11" s="1" t="s">
        <v>169</v>
      </c>
      <c r="F11" s="1"/>
      <c r="G11" s="1">
        <v>4300</v>
      </c>
      <c r="H11" s="1">
        <v>5700</v>
      </c>
      <c r="I11" s="3">
        <v>7100</v>
      </c>
      <c r="J11" s="1"/>
      <c r="K11" s="1"/>
      <c r="L11" s="1"/>
      <c r="M11" s="1"/>
    </row>
    <row r="12" spans="2:13" x14ac:dyDescent="0.25">
      <c r="B12" s="2" t="s">
        <v>158</v>
      </c>
      <c r="C12" s="1" t="s">
        <v>179</v>
      </c>
      <c r="D12" s="1" t="s">
        <v>168</v>
      </c>
      <c r="E12" s="1" t="s">
        <v>170</v>
      </c>
      <c r="F12" s="1"/>
      <c r="G12" s="1">
        <v>5300</v>
      </c>
      <c r="H12" s="1">
        <v>6700</v>
      </c>
      <c r="I12" s="3">
        <v>8100</v>
      </c>
      <c r="J12" s="1"/>
      <c r="K12" s="1"/>
      <c r="L12" s="1"/>
      <c r="M12" s="1"/>
    </row>
    <row r="13" spans="2:13" x14ac:dyDescent="0.25">
      <c r="B13" s="2" t="s">
        <v>158</v>
      </c>
      <c r="C13" s="1" t="s">
        <v>180</v>
      </c>
      <c r="D13" s="1" t="s">
        <v>168</v>
      </c>
      <c r="E13" s="1" t="s">
        <v>40</v>
      </c>
      <c r="F13" s="1"/>
      <c r="G13" s="1">
        <v>1500</v>
      </c>
      <c r="H13" s="1">
        <v>2200</v>
      </c>
      <c r="I13" s="3">
        <v>2900</v>
      </c>
      <c r="J13" s="1"/>
      <c r="K13" s="1"/>
      <c r="L13" s="1"/>
      <c r="M13" s="1"/>
    </row>
    <row r="14" spans="2:13" x14ac:dyDescent="0.25">
      <c r="B14" s="2" t="s">
        <v>158</v>
      </c>
      <c r="C14" s="1" t="s">
        <v>181</v>
      </c>
      <c r="D14" s="1" t="s">
        <v>168</v>
      </c>
      <c r="E14" s="1" t="s">
        <v>42</v>
      </c>
      <c r="F14" s="1"/>
      <c r="G14" s="1">
        <v>950</v>
      </c>
      <c r="H14" s="1">
        <v>1300</v>
      </c>
      <c r="I14" s="3">
        <v>1650</v>
      </c>
      <c r="J14" s="1"/>
      <c r="K14" s="1"/>
      <c r="L14" s="1"/>
      <c r="M14" s="1"/>
    </row>
    <row r="15" spans="2:13" x14ac:dyDescent="0.25">
      <c r="B15" s="2" t="s">
        <v>158</v>
      </c>
      <c r="C15" s="1" t="s">
        <v>182</v>
      </c>
      <c r="D15" s="1" t="s">
        <v>168</v>
      </c>
      <c r="E15" s="1" t="s">
        <v>41</v>
      </c>
      <c r="F15" s="1"/>
      <c r="G15" s="1">
        <v>500</v>
      </c>
      <c r="H15" s="1">
        <v>850</v>
      </c>
      <c r="I15" s="3">
        <v>1200</v>
      </c>
      <c r="J15" s="1"/>
      <c r="K15" s="1"/>
      <c r="L15" s="1"/>
      <c r="M15" s="1"/>
    </row>
    <row r="16" spans="2:13" x14ac:dyDescent="0.25">
      <c r="B16" s="2" t="s">
        <v>158</v>
      </c>
      <c r="C16" s="1" t="s">
        <v>183</v>
      </c>
      <c r="D16" s="1" t="s">
        <v>168</v>
      </c>
      <c r="E16" s="45" t="s">
        <v>171</v>
      </c>
      <c r="F16" s="1"/>
      <c r="G16" s="1">
        <v>6000</v>
      </c>
      <c r="H16" s="1">
        <v>7400</v>
      </c>
      <c r="I16" s="3">
        <v>8800</v>
      </c>
      <c r="J16" s="1"/>
      <c r="K16" s="1"/>
      <c r="L16" s="1"/>
      <c r="M16" s="1"/>
    </row>
    <row r="17" spans="2:13" x14ac:dyDescent="0.25">
      <c r="B17" s="2" t="s">
        <v>163</v>
      </c>
      <c r="C17" s="1" t="s">
        <v>228</v>
      </c>
      <c r="D17" s="1" t="s">
        <v>912</v>
      </c>
      <c r="E17" s="1" t="s">
        <v>651</v>
      </c>
      <c r="F17" s="1"/>
      <c r="G17" s="1">
        <v>5712</v>
      </c>
      <c r="H17" s="1">
        <v>7560</v>
      </c>
      <c r="I17" s="3">
        <v>11269</v>
      </c>
      <c r="J17" s="1"/>
      <c r="K17" s="1"/>
      <c r="L17" s="1"/>
      <c r="M17" s="1"/>
    </row>
    <row r="18" spans="2:13" x14ac:dyDescent="0.25">
      <c r="B18" s="2" t="s">
        <v>163</v>
      </c>
      <c r="C18" s="1" t="s">
        <v>229</v>
      </c>
      <c r="D18" s="1" t="s">
        <v>226</v>
      </c>
      <c r="E18" s="45" t="s">
        <v>898</v>
      </c>
      <c r="F18" s="1"/>
      <c r="G18" s="1">
        <v>6776</v>
      </c>
      <c r="H18" s="1">
        <v>8568</v>
      </c>
      <c r="I18" s="3">
        <v>12390</v>
      </c>
      <c r="J18" s="1"/>
      <c r="K18" s="1"/>
      <c r="L18" s="1"/>
      <c r="M18" s="1"/>
    </row>
    <row r="19" spans="2:13" x14ac:dyDescent="0.25">
      <c r="B19" s="2" t="s">
        <v>163</v>
      </c>
      <c r="C19" s="1" t="s">
        <v>230</v>
      </c>
      <c r="D19" s="1" t="s">
        <v>226</v>
      </c>
      <c r="E19" s="1" t="s">
        <v>899</v>
      </c>
      <c r="F19" s="1"/>
      <c r="G19" s="1">
        <v>7784</v>
      </c>
      <c r="H19" s="1">
        <v>9617</v>
      </c>
      <c r="I19" s="3">
        <v>13452</v>
      </c>
      <c r="J19" s="1"/>
      <c r="K19" s="1"/>
      <c r="L19" s="1"/>
      <c r="M19" s="1"/>
    </row>
    <row r="20" spans="2:13" x14ac:dyDescent="0.25">
      <c r="B20" s="2" t="s">
        <v>163</v>
      </c>
      <c r="C20" s="1" t="s">
        <v>231</v>
      </c>
      <c r="D20" s="1" t="s">
        <v>226</v>
      </c>
      <c r="E20" s="1" t="s">
        <v>227</v>
      </c>
      <c r="F20" s="1"/>
      <c r="G20" s="1">
        <v>9440</v>
      </c>
      <c r="H20" s="1">
        <v>11446</v>
      </c>
      <c r="I20" s="1">
        <v>14927</v>
      </c>
      <c r="J20" s="1"/>
      <c r="K20" s="1"/>
      <c r="L20" s="1"/>
      <c r="M20" s="1"/>
    </row>
    <row r="21" spans="2:13" x14ac:dyDescent="0.25">
      <c r="B21" s="2" t="s">
        <v>163</v>
      </c>
      <c r="C21" s="1" t="s">
        <v>232</v>
      </c>
      <c r="D21" s="1" t="s">
        <v>226</v>
      </c>
      <c r="E21" s="1" t="s">
        <v>906</v>
      </c>
      <c r="F21" s="1"/>
      <c r="G21" s="1">
        <v>11505</v>
      </c>
      <c r="H21" s="1">
        <v>13570</v>
      </c>
      <c r="I21" s="1">
        <v>17051</v>
      </c>
      <c r="J21" s="1"/>
      <c r="K21" s="1"/>
      <c r="L21" s="1"/>
      <c r="M21" s="1"/>
    </row>
    <row r="22" spans="2:13" x14ac:dyDescent="0.25">
      <c r="B22" s="2" t="s">
        <v>163</v>
      </c>
      <c r="C22" s="1" t="s">
        <v>233</v>
      </c>
      <c r="D22" s="1" t="s">
        <v>226</v>
      </c>
      <c r="E22" s="1" t="s">
        <v>907</v>
      </c>
      <c r="F22" s="1"/>
      <c r="G22" s="1">
        <v>13865</v>
      </c>
      <c r="H22" s="1">
        <v>15930</v>
      </c>
      <c r="I22" s="1">
        <v>19588</v>
      </c>
      <c r="J22" s="1"/>
      <c r="K22" s="1"/>
      <c r="L22" s="1"/>
      <c r="M22" s="1"/>
    </row>
    <row r="23" spans="2:13" x14ac:dyDescent="0.25">
      <c r="B23" s="2" t="s">
        <v>163</v>
      </c>
      <c r="C23" s="1" t="s">
        <v>234</v>
      </c>
      <c r="D23" s="1" t="s">
        <v>226</v>
      </c>
      <c r="E23" s="1" t="s">
        <v>908</v>
      </c>
      <c r="F23" s="88"/>
      <c r="G23" s="1">
        <v>16225</v>
      </c>
      <c r="H23" s="1">
        <v>18290</v>
      </c>
      <c r="I23" s="1">
        <v>21063</v>
      </c>
      <c r="J23" s="1"/>
      <c r="K23" s="1"/>
      <c r="L23" s="1"/>
      <c r="M23" s="1"/>
    </row>
    <row r="24" spans="2:13" x14ac:dyDescent="0.25">
      <c r="B24" s="2" t="s">
        <v>163</v>
      </c>
      <c r="C24" s="1" t="s">
        <v>235</v>
      </c>
      <c r="D24" s="1" t="s">
        <v>226</v>
      </c>
      <c r="E24" s="1" t="s">
        <v>909</v>
      </c>
      <c r="F24" s="88"/>
      <c r="G24" s="1">
        <v>17995</v>
      </c>
      <c r="H24" s="1">
        <v>20060</v>
      </c>
      <c r="I24" s="1">
        <v>22597</v>
      </c>
      <c r="J24" s="1"/>
      <c r="K24" s="1"/>
      <c r="L24" s="1"/>
      <c r="M24" s="1"/>
    </row>
    <row r="25" spans="2:13" x14ac:dyDescent="0.25">
      <c r="B25" s="2" t="s">
        <v>163</v>
      </c>
      <c r="C25" s="1" t="s">
        <v>236</v>
      </c>
      <c r="D25" s="1" t="s">
        <v>226</v>
      </c>
      <c r="E25" s="1" t="s">
        <v>910</v>
      </c>
      <c r="F25" s="88"/>
      <c r="G25" s="1">
        <v>27435</v>
      </c>
      <c r="H25" s="1">
        <v>29500</v>
      </c>
      <c r="I25" s="1">
        <v>31565</v>
      </c>
      <c r="J25" s="1"/>
      <c r="K25" s="1"/>
      <c r="L25" s="1"/>
      <c r="M25" s="1"/>
    </row>
    <row r="26" spans="2:13" x14ac:dyDescent="0.25">
      <c r="B26" s="2" t="s">
        <v>163</v>
      </c>
      <c r="C26" s="1" t="s">
        <v>237</v>
      </c>
      <c r="D26" s="1" t="s">
        <v>226</v>
      </c>
      <c r="E26" s="1" t="s">
        <v>40</v>
      </c>
      <c r="F26" s="1"/>
      <c r="G26" s="1">
        <v>2000</v>
      </c>
      <c r="H26" s="1">
        <v>2500</v>
      </c>
      <c r="I26" s="1">
        <v>3000</v>
      </c>
      <c r="J26" s="1"/>
      <c r="K26" s="1"/>
      <c r="L26" s="1"/>
      <c r="M26" s="1"/>
    </row>
    <row r="27" spans="2:13" x14ac:dyDescent="0.25">
      <c r="B27" s="2" t="s">
        <v>163</v>
      </c>
      <c r="C27" s="1" t="s">
        <v>238</v>
      </c>
      <c r="D27" s="1" t="s">
        <v>226</v>
      </c>
      <c r="E27" s="1" t="s">
        <v>911</v>
      </c>
      <c r="F27" s="1"/>
      <c r="G27" s="1">
        <v>1000</v>
      </c>
      <c r="H27" s="1">
        <v>1750</v>
      </c>
      <c r="I27" s="1">
        <v>2500</v>
      </c>
      <c r="J27" s="1"/>
      <c r="K27" s="1"/>
      <c r="L27" s="1"/>
      <c r="M27" s="1"/>
    </row>
    <row r="28" spans="2:13" x14ac:dyDescent="0.25">
      <c r="B28" s="2" t="s">
        <v>163</v>
      </c>
      <c r="C28" s="1" t="s">
        <v>239</v>
      </c>
      <c r="D28" s="1" t="s">
        <v>226</v>
      </c>
      <c r="E28" s="1" t="s">
        <v>41</v>
      </c>
      <c r="F28" s="52"/>
      <c r="G28" s="1">
        <v>850</v>
      </c>
      <c r="H28" s="1">
        <v>1000</v>
      </c>
      <c r="I28" s="1">
        <v>1000</v>
      </c>
      <c r="J28" s="52"/>
      <c r="K28" s="52"/>
      <c r="L28" s="52"/>
      <c r="M28" s="52"/>
    </row>
    <row r="29" spans="2:13" x14ac:dyDescent="0.25">
      <c r="B29" s="2" t="s">
        <v>163</v>
      </c>
      <c r="C29" s="1" t="s">
        <v>240</v>
      </c>
      <c r="D29" s="52" t="s">
        <v>264</v>
      </c>
      <c r="E29" s="52" t="s">
        <v>265</v>
      </c>
      <c r="F29" s="52"/>
      <c r="G29" s="1">
        <v>3000</v>
      </c>
      <c r="H29" s="1">
        <v>3400</v>
      </c>
      <c r="I29" s="1">
        <v>3800</v>
      </c>
      <c r="J29" s="52"/>
      <c r="K29" s="52"/>
      <c r="L29" s="52"/>
      <c r="M29" s="52"/>
    </row>
    <row r="30" spans="2:13" x14ac:dyDescent="0.25">
      <c r="B30" s="2" t="s">
        <v>163</v>
      </c>
      <c r="C30" s="1" t="s">
        <v>241</v>
      </c>
      <c r="D30" s="52" t="s">
        <v>264</v>
      </c>
      <c r="E30" s="52" t="s">
        <v>266</v>
      </c>
      <c r="F30" s="52"/>
      <c r="G30" s="1">
        <v>3500</v>
      </c>
      <c r="H30" s="1">
        <v>3900</v>
      </c>
      <c r="I30" s="1">
        <v>4300</v>
      </c>
      <c r="J30" s="52"/>
      <c r="K30" s="52"/>
      <c r="L30" s="52"/>
      <c r="M30" s="52"/>
    </row>
    <row r="31" spans="2:13" x14ac:dyDescent="0.25">
      <c r="B31" s="7" t="s">
        <v>162</v>
      </c>
      <c r="C31" s="1" t="s">
        <v>242</v>
      </c>
      <c r="D31" s="52" t="s">
        <v>267</v>
      </c>
      <c r="E31" s="52" t="s">
        <v>268</v>
      </c>
      <c r="F31" s="52"/>
      <c r="G31" s="1">
        <v>6440</v>
      </c>
      <c r="H31" s="1">
        <v>8568</v>
      </c>
      <c r="I31" s="1">
        <v>12567</v>
      </c>
      <c r="J31" s="52"/>
      <c r="K31" s="52"/>
      <c r="L31" s="52"/>
      <c r="M31" s="52"/>
    </row>
    <row r="32" spans="2:13" x14ac:dyDescent="0.25">
      <c r="B32" s="7" t="s">
        <v>162</v>
      </c>
      <c r="C32" s="1" t="s">
        <v>243</v>
      </c>
      <c r="D32" s="52" t="s">
        <v>267</v>
      </c>
      <c r="E32" s="52" t="s">
        <v>269</v>
      </c>
      <c r="F32" s="52"/>
      <c r="G32" s="52">
        <v>7392</v>
      </c>
      <c r="H32" s="52">
        <v>9617</v>
      </c>
      <c r="I32" s="8">
        <v>13806</v>
      </c>
      <c r="J32" s="52"/>
      <c r="K32" s="52"/>
      <c r="L32" s="52"/>
      <c r="M32" s="52"/>
    </row>
    <row r="33" spans="2:13" x14ac:dyDescent="0.25">
      <c r="B33" s="7" t="s">
        <v>162</v>
      </c>
      <c r="C33" s="1" t="s">
        <v>244</v>
      </c>
      <c r="D33" s="52" t="s">
        <v>267</v>
      </c>
      <c r="E33" s="52" t="s">
        <v>270</v>
      </c>
      <c r="F33" s="52"/>
      <c r="G33" s="52">
        <v>11387</v>
      </c>
      <c r="H33" s="52">
        <v>13570</v>
      </c>
      <c r="I33" s="8">
        <v>16166</v>
      </c>
      <c r="J33" s="52"/>
      <c r="K33" s="52"/>
      <c r="L33" s="52"/>
      <c r="M33" s="52"/>
    </row>
    <row r="34" spans="2:13" x14ac:dyDescent="0.25">
      <c r="B34" s="7" t="s">
        <v>162</v>
      </c>
      <c r="C34" s="1" t="s">
        <v>245</v>
      </c>
      <c r="D34" s="52" t="s">
        <v>267</v>
      </c>
      <c r="E34" s="52" t="s">
        <v>271</v>
      </c>
      <c r="F34" s="52"/>
      <c r="G34" s="52">
        <v>13393</v>
      </c>
      <c r="H34" s="52">
        <v>15576</v>
      </c>
      <c r="I34" s="8">
        <v>19116</v>
      </c>
      <c r="J34" s="52"/>
      <c r="K34" s="52"/>
      <c r="L34" s="52"/>
      <c r="M34" s="52"/>
    </row>
    <row r="35" spans="2:13" x14ac:dyDescent="0.25">
      <c r="B35" s="7" t="s">
        <v>162</v>
      </c>
      <c r="C35" s="1" t="s">
        <v>246</v>
      </c>
      <c r="D35" s="52" t="s">
        <v>267</v>
      </c>
      <c r="E35" s="52" t="s">
        <v>272</v>
      </c>
      <c r="F35" s="52"/>
      <c r="G35" s="52">
        <v>23541</v>
      </c>
      <c r="H35" s="52">
        <v>25960</v>
      </c>
      <c r="I35" s="8">
        <v>29500</v>
      </c>
      <c r="J35" s="52"/>
      <c r="K35" s="52"/>
      <c r="L35" s="52"/>
      <c r="M35" s="52"/>
    </row>
    <row r="36" spans="2:13" x14ac:dyDescent="0.25">
      <c r="B36" s="7" t="s">
        <v>162</v>
      </c>
      <c r="C36" s="1" t="s">
        <v>247</v>
      </c>
      <c r="D36" s="52" t="s">
        <v>267</v>
      </c>
      <c r="E36" s="52" t="s">
        <v>273</v>
      </c>
      <c r="F36" s="52"/>
      <c r="G36" s="52">
        <v>38940</v>
      </c>
      <c r="H36" s="52">
        <v>41300</v>
      </c>
      <c r="I36" s="8">
        <v>44781</v>
      </c>
      <c r="J36" s="52"/>
      <c r="K36" s="52"/>
      <c r="L36" s="52"/>
      <c r="M36" s="52"/>
    </row>
    <row r="37" spans="2:13" x14ac:dyDescent="0.25">
      <c r="B37" s="7" t="s">
        <v>162</v>
      </c>
      <c r="C37" s="1" t="s">
        <v>248</v>
      </c>
      <c r="D37" s="52" t="s">
        <v>267</v>
      </c>
      <c r="E37" s="1" t="s">
        <v>40</v>
      </c>
      <c r="F37" s="52"/>
      <c r="G37" s="52">
        <v>2000</v>
      </c>
      <c r="H37" s="52">
        <v>2500</v>
      </c>
      <c r="I37" s="8">
        <v>3000</v>
      </c>
      <c r="J37" s="52"/>
      <c r="K37" s="52"/>
      <c r="L37" s="52"/>
      <c r="M37" s="52"/>
    </row>
    <row r="38" spans="2:13" x14ac:dyDescent="0.25">
      <c r="B38" s="7" t="s">
        <v>162</v>
      </c>
      <c r="C38" s="1" t="s">
        <v>249</v>
      </c>
      <c r="D38" s="52" t="s">
        <v>267</v>
      </c>
      <c r="E38" s="1" t="s">
        <v>42</v>
      </c>
      <c r="F38" s="52"/>
      <c r="G38" s="52">
        <v>1000</v>
      </c>
      <c r="H38" s="52">
        <v>1750</v>
      </c>
      <c r="I38" s="8">
        <v>2500</v>
      </c>
      <c r="J38" s="52"/>
      <c r="K38" s="52"/>
      <c r="L38" s="52"/>
      <c r="M38" s="52"/>
    </row>
    <row r="39" spans="2:13" x14ac:dyDescent="0.25">
      <c r="B39" s="7" t="s">
        <v>162</v>
      </c>
      <c r="C39" s="1" t="s">
        <v>250</v>
      </c>
      <c r="D39" s="52" t="s">
        <v>267</v>
      </c>
      <c r="E39" s="1" t="s">
        <v>41</v>
      </c>
      <c r="F39" s="52"/>
      <c r="G39" s="52">
        <v>850</v>
      </c>
      <c r="H39" s="52">
        <v>1000</v>
      </c>
      <c r="I39" s="8">
        <v>1000</v>
      </c>
      <c r="J39" s="52"/>
      <c r="K39" s="52"/>
      <c r="L39" s="52"/>
      <c r="M39" s="52"/>
    </row>
    <row r="40" spans="2:13" x14ac:dyDescent="0.25">
      <c r="B40" s="7" t="s">
        <v>275</v>
      </c>
      <c r="C40" s="1" t="s">
        <v>251</v>
      </c>
      <c r="D40" s="52" t="s">
        <v>274</v>
      </c>
      <c r="E40" s="52" t="s">
        <v>276</v>
      </c>
      <c r="F40" s="52"/>
      <c r="G40" s="52">
        <v>4704</v>
      </c>
      <c r="H40" s="52">
        <v>6160</v>
      </c>
      <c r="I40" s="8">
        <v>8344</v>
      </c>
      <c r="J40" s="52"/>
      <c r="K40" s="52"/>
      <c r="L40" s="52"/>
      <c r="M40" s="52"/>
    </row>
    <row r="41" spans="2:13" x14ac:dyDescent="0.25">
      <c r="B41" s="7" t="s">
        <v>275</v>
      </c>
      <c r="C41" s="1" t="s">
        <v>252</v>
      </c>
      <c r="D41" s="52" t="s">
        <v>274</v>
      </c>
      <c r="E41" s="52" t="s">
        <v>277</v>
      </c>
      <c r="F41" s="52"/>
      <c r="G41" s="52">
        <v>5712</v>
      </c>
      <c r="H41" s="52">
        <v>7280</v>
      </c>
      <c r="I41" s="8">
        <v>9440</v>
      </c>
      <c r="J41" s="52"/>
      <c r="K41" s="52"/>
      <c r="L41" s="52"/>
      <c r="M41" s="52"/>
    </row>
    <row r="42" spans="2:13" x14ac:dyDescent="0.25">
      <c r="B42" s="7" t="s">
        <v>275</v>
      </c>
      <c r="C42" s="1" t="s">
        <v>253</v>
      </c>
      <c r="D42" s="52" t="s">
        <v>274</v>
      </c>
      <c r="E42" s="52" t="s">
        <v>278</v>
      </c>
      <c r="F42" s="52"/>
      <c r="G42" s="52">
        <v>6720</v>
      </c>
      <c r="H42" s="52">
        <v>8344</v>
      </c>
      <c r="I42" s="8">
        <v>10620</v>
      </c>
      <c r="J42" s="52"/>
      <c r="K42" s="52"/>
      <c r="L42" s="52"/>
      <c r="M42" s="52"/>
    </row>
    <row r="43" spans="2:13" x14ac:dyDescent="0.25">
      <c r="B43" s="7" t="s">
        <v>275</v>
      </c>
      <c r="C43" s="1" t="s">
        <v>254</v>
      </c>
      <c r="D43" s="52" t="s">
        <v>274</v>
      </c>
      <c r="E43" s="52" t="s">
        <v>279</v>
      </c>
      <c r="F43" s="52"/>
      <c r="G43" s="52">
        <v>10640</v>
      </c>
      <c r="H43" s="52">
        <v>13570</v>
      </c>
      <c r="I43" s="8">
        <v>15930</v>
      </c>
      <c r="J43" s="52"/>
      <c r="K43" s="52"/>
      <c r="L43" s="52"/>
      <c r="M43" s="52"/>
    </row>
    <row r="44" spans="2:13" x14ac:dyDescent="0.25">
      <c r="B44" s="7" t="s">
        <v>275</v>
      </c>
      <c r="C44" s="1" t="s">
        <v>255</v>
      </c>
      <c r="D44" s="52" t="s">
        <v>274</v>
      </c>
      <c r="E44" s="52" t="s">
        <v>280</v>
      </c>
      <c r="F44" s="52"/>
      <c r="G44" s="52">
        <v>9464</v>
      </c>
      <c r="H44" s="52">
        <v>11210</v>
      </c>
      <c r="I44" s="8">
        <v>12390</v>
      </c>
      <c r="J44" s="52"/>
      <c r="K44" s="52"/>
      <c r="L44" s="52"/>
      <c r="M44" s="52"/>
    </row>
    <row r="45" spans="2:13" x14ac:dyDescent="0.25">
      <c r="B45" s="7" t="s">
        <v>275</v>
      </c>
      <c r="C45" s="1" t="s">
        <v>256</v>
      </c>
      <c r="D45" s="52" t="s">
        <v>274</v>
      </c>
      <c r="E45" s="1" t="s">
        <v>40</v>
      </c>
      <c r="F45" s="52"/>
      <c r="G45" s="52">
        <v>1500</v>
      </c>
      <c r="H45" s="52">
        <v>1700</v>
      </c>
      <c r="I45" s="8">
        <v>2000</v>
      </c>
      <c r="J45" s="52"/>
      <c r="K45" s="52"/>
      <c r="L45" s="52"/>
      <c r="M45" s="52"/>
    </row>
    <row r="46" spans="2:13" x14ac:dyDescent="0.25">
      <c r="B46" s="7" t="s">
        <v>275</v>
      </c>
      <c r="C46" s="1" t="s">
        <v>257</v>
      </c>
      <c r="D46" s="52" t="s">
        <v>274</v>
      </c>
      <c r="E46" s="1" t="s">
        <v>42</v>
      </c>
      <c r="F46" s="52"/>
      <c r="G46" s="52">
        <v>1000</v>
      </c>
      <c r="H46" s="52">
        <v>1250</v>
      </c>
      <c r="I46" s="8">
        <v>1250</v>
      </c>
      <c r="J46" s="52"/>
      <c r="K46" s="52"/>
      <c r="L46" s="52"/>
      <c r="M46" s="52"/>
    </row>
    <row r="47" spans="2:13" x14ac:dyDescent="0.25">
      <c r="B47" s="7" t="s">
        <v>275</v>
      </c>
      <c r="C47" s="1" t="s">
        <v>258</v>
      </c>
      <c r="D47" s="52" t="s">
        <v>274</v>
      </c>
      <c r="E47" s="1" t="s">
        <v>41</v>
      </c>
      <c r="F47" s="52"/>
      <c r="G47" s="52">
        <v>750</v>
      </c>
      <c r="H47" s="52">
        <v>750</v>
      </c>
      <c r="I47" s="8">
        <v>750</v>
      </c>
      <c r="J47" s="52"/>
      <c r="K47" s="52"/>
      <c r="L47" s="52"/>
      <c r="M47" s="52"/>
    </row>
    <row r="48" spans="2:13" x14ac:dyDescent="0.25">
      <c r="B48" s="7" t="s">
        <v>282</v>
      </c>
      <c r="C48" s="1" t="s">
        <v>259</v>
      </c>
      <c r="D48" s="52" t="s">
        <v>281</v>
      </c>
      <c r="E48" s="1" t="s">
        <v>104</v>
      </c>
      <c r="F48" s="1"/>
      <c r="G48" s="52">
        <v>2800</v>
      </c>
      <c r="H48" s="52">
        <v>4000</v>
      </c>
      <c r="I48" s="3">
        <v>5200</v>
      </c>
      <c r="J48" s="1"/>
      <c r="K48" s="1"/>
      <c r="L48" s="1"/>
      <c r="M48" s="1"/>
    </row>
    <row r="49" spans="2:13" x14ac:dyDescent="0.25">
      <c r="B49" s="7" t="s">
        <v>282</v>
      </c>
      <c r="C49" s="1" t="s">
        <v>260</v>
      </c>
      <c r="D49" s="52" t="s">
        <v>281</v>
      </c>
      <c r="E49" s="1" t="s">
        <v>169</v>
      </c>
      <c r="F49" s="1"/>
      <c r="G49" s="52">
        <v>3100</v>
      </c>
      <c r="H49" s="52">
        <v>4300</v>
      </c>
      <c r="I49" s="3">
        <v>5500</v>
      </c>
      <c r="J49" s="1"/>
      <c r="K49" s="1"/>
      <c r="L49" s="1"/>
      <c r="M49" s="1"/>
    </row>
    <row r="50" spans="2:13" x14ac:dyDescent="0.25">
      <c r="B50" s="7" t="s">
        <v>282</v>
      </c>
      <c r="C50" s="1" t="s">
        <v>261</v>
      </c>
      <c r="D50" s="52" t="s">
        <v>281</v>
      </c>
      <c r="E50" s="1" t="s">
        <v>283</v>
      </c>
      <c r="F50" s="1"/>
      <c r="G50" s="52">
        <v>4000</v>
      </c>
      <c r="H50" s="52">
        <v>5200</v>
      </c>
      <c r="I50" s="3">
        <v>6400</v>
      </c>
      <c r="J50" s="1"/>
      <c r="K50" s="1"/>
      <c r="L50" s="1"/>
      <c r="M50" s="1"/>
    </row>
    <row r="51" spans="2:13" x14ac:dyDescent="0.25">
      <c r="B51" s="7" t="s">
        <v>282</v>
      </c>
      <c r="C51" s="1" t="s">
        <v>262</v>
      </c>
      <c r="D51" s="52" t="s">
        <v>281</v>
      </c>
      <c r="E51" s="1" t="s">
        <v>40</v>
      </c>
      <c r="F51" s="52"/>
      <c r="G51" s="52">
        <v>900</v>
      </c>
      <c r="H51" s="52">
        <v>1500</v>
      </c>
      <c r="I51" s="8">
        <v>2100</v>
      </c>
      <c r="J51" s="52"/>
      <c r="K51" s="52"/>
      <c r="L51" s="52"/>
      <c r="M51" s="52"/>
    </row>
    <row r="52" spans="2:13" x14ac:dyDescent="0.25">
      <c r="B52" s="7" t="s">
        <v>282</v>
      </c>
      <c r="C52" s="1" t="s">
        <v>263</v>
      </c>
      <c r="D52" s="52" t="s">
        <v>281</v>
      </c>
      <c r="E52" s="1" t="s">
        <v>42</v>
      </c>
      <c r="F52" s="52"/>
      <c r="G52" s="52">
        <v>400</v>
      </c>
      <c r="H52" s="52">
        <v>850</v>
      </c>
      <c r="I52" s="8">
        <v>1200</v>
      </c>
      <c r="J52" s="52"/>
      <c r="K52" s="52"/>
      <c r="L52" s="52"/>
      <c r="M52" s="52"/>
    </row>
    <row r="53" spans="2:13" x14ac:dyDescent="0.25">
      <c r="B53" s="7" t="s">
        <v>282</v>
      </c>
      <c r="C53" s="1" t="s">
        <v>284</v>
      </c>
      <c r="D53" s="52" t="s">
        <v>281</v>
      </c>
      <c r="E53" s="1" t="s">
        <v>41</v>
      </c>
      <c r="F53" s="1"/>
      <c r="G53" s="1">
        <v>700</v>
      </c>
      <c r="H53" s="1">
        <v>1200</v>
      </c>
      <c r="I53" s="3">
        <v>1700</v>
      </c>
      <c r="J53" s="1"/>
      <c r="K53" s="1"/>
      <c r="L53" s="1"/>
      <c r="M53" s="1"/>
    </row>
    <row r="54" spans="2:13" x14ac:dyDescent="0.25">
      <c r="B54" s="7" t="s">
        <v>282</v>
      </c>
      <c r="C54" s="1" t="s">
        <v>371</v>
      </c>
      <c r="D54" s="52" t="s">
        <v>370</v>
      </c>
      <c r="E54" s="1" t="s">
        <v>512</v>
      </c>
      <c r="F54" s="1"/>
      <c r="G54" s="1">
        <v>3500</v>
      </c>
      <c r="H54" s="1">
        <v>3400</v>
      </c>
      <c r="I54" s="3"/>
      <c r="J54" s="1"/>
      <c r="K54" s="1"/>
      <c r="L54" s="1"/>
      <c r="M54" s="1"/>
    </row>
    <row r="55" spans="2:13" x14ac:dyDescent="0.25">
      <c r="B55" s="7" t="s">
        <v>282</v>
      </c>
      <c r="C55" s="1" t="s">
        <v>372</v>
      </c>
      <c r="D55" s="52" t="s">
        <v>370</v>
      </c>
      <c r="E55" s="1" t="s">
        <v>40</v>
      </c>
      <c r="F55" s="1"/>
      <c r="G55" s="1">
        <v>800</v>
      </c>
      <c r="H55" s="1">
        <v>1350</v>
      </c>
      <c r="I55" s="3"/>
      <c r="J55" s="1"/>
      <c r="K55" s="1"/>
      <c r="L55" s="1"/>
      <c r="M55" s="1"/>
    </row>
    <row r="56" spans="2:13" x14ac:dyDescent="0.25">
      <c r="B56" s="7" t="s">
        <v>282</v>
      </c>
      <c r="C56" s="1" t="s">
        <v>373</v>
      </c>
      <c r="D56" s="52" t="s">
        <v>380</v>
      </c>
      <c r="E56" s="1" t="s">
        <v>104</v>
      </c>
      <c r="F56" s="1"/>
      <c r="G56" s="1">
        <v>3600</v>
      </c>
      <c r="H56" s="1">
        <v>4900</v>
      </c>
      <c r="I56" s="3"/>
      <c r="J56" s="1"/>
      <c r="K56" s="1"/>
      <c r="L56" s="1"/>
      <c r="M56" s="1"/>
    </row>
    <row r="57" spans="2:13" x14ac:dyDescent="0.25">
      <c r="B57" s="7" t="s">
        <v>282</v>
      </c>
      <c r="C57" s="1" t="s">
        <v>374</v>
      </c>
      <c r="D57" s="52" t="s">
        <v>380</v>
      </c>
      <c r="E57" s="1" t="s">
        <v>40</v>
      </c>
      <c r="F57" s="1"/>
      <c r="G57" s="1">
        <v>800</v>
      </c>
      <c r="H57" s="1">
        <v>1450</v>
      </c>
      <c r="I57" s="3"/>
      <c r="J57" s="1"/>
      <c r="K57" s="1"/>
      <c r="L57" s="1"/>
      <c r="M57" s="1"/>
    </row>
    <row r="58" spans="2:13" x14ac:dyDescent="0.25">
      <c r="B58" s="7" t="s">
        <v>282</v>
      </c>
      <c r="C58" s="1" t="s">
        <v>375</v>
      </c>
      <c r="D58" s="52" t="s">
        <v>381</v>
      </c>
      <c r="E58" s="1" t="s">
        <v>531</v>
      </c>
      <c r="F58" s="1"/>
      <c r="G58" s="1">
        <v>3400</v>
      </c>
      <c r="H58" s="1">
        <f>RAW[[#This Row],[Double CP]]+1300</f>
        <v>4700</v>
      </c>
      <c r="I58" s="3"/>
      <c r="J58" s="1"/>
      <c r="K58" s="1"/>
      <c r="L58" s="1"/>
      <c r="M58" s="1"/>
    </row>
    <row r="59" spans="2:13" x14ac:dyDescent="0.25">
      <c r="B59" s="7" t="s">
        <v>282</v>
      </c>
      <c r="C59" s="1" t="s">
        <v>376</v>
      </c>
      <c r="D59" s="52" t="s">
        <v>381</v>
      </c>
      <c r="E59" s="1" t="s">
        <v>40</v>
      </c>
      <c r="F59" s="1"/>
      <c r="G59" s="1">
        <v>800</v>
      </c>
      <c r="H59" s="1">
        <f>RAW[[#This Row],[Double CP]]+650</f>
        <v>1450</v>
      </c>
      <c r="I59" s="3"/>
      <c r="J59" s="1"/>
      <c r="K59" s="1"/>
      <c r="L59" s="1"/>
      <c r="M59" s="1"/>
    </row>
    <row r="60" spans="2:13" x14ac:dyDescent="0.25">
      <c r="B60" s="7" t="s">
        <v>162</v>
      </c>
      <c r="C60" s="1" t="s">
        <v>377</v>
      </c>
      <c r="D60" s="52" t="s">
        <v>383</v>
      </c>
      <c r="E60" s="1" t="s">
        <v>610</v>
      </c>
      <c r="F60" s="1"/>
      <c r="G60" s="1">
        <v>4900</v>
      </c>
      <c r="H60" s="1">
        <v>6100</v>
      </c>
      <c r="I60" s="3"/>
      <c r="J60" s="1"/>
      <c r="K60" s="1"/>
      <c r="L60" s="1"/>
      <c r="M60" s="1"/>
    </row>
    <row r="61" spans="2:13" x14ac:dyDescent="0.25">
      <c r="B61" s="7" t="s">
        <v>162</v>
      </c>
      <c r="C61" s="1" t="s">
        <v>378</v>
      </c>
      <c r="D61" s="52" t="s">
        <v>383</v>
      </c>
      <c r="E61" s="1" t="s">
        <v>40</v>
      </c>
      <c r="F61" s="1"/>
      <c r="G61" s="1">
        <v>800</v>
      </c>
      <c r="H61" s="1">
        <v>1400</v>
      </c>
      <c r="I61" s="3"/>
      <c r="J61" s="1"/>
      <c r="K61" s="1"/>
      <c r="L61" s="1"/>
      <c r="M61" s="1"/>
    </row>
    <row r="62" spans="2:13" x14ac:dyDescent="0.25">
      <c r="B62" s="7" t="s">
        <v>282</v>
      </c>
      <c r="C62" s="1" t="s">
        <v>379</v>
      </c>
      <c r="D62" s="52" t="s">
        <v>384</v>
      </c>
      <c r="E62" s="1" t="s">
        <v>169</v>
      </c>
      <c r="F62" s="1"/>
      <c r="G62" s="1">
        <v>3500</v>
      </c>
      <c r="H62" s="1">
        <v>4500</v>
      </c>
      <c r="I62" s="3"/>
      <c r="J62" s="1"/>
      <c r="K62" s="1"/>
      <c r="L62" s="1"/>
      <c r="M62" s="1"/>
    </row>
    <row r="63" spans="2:13" x14ac:dyDescent="0.25">
      <c r="B63" s="7" t="s">
        <v>282</v>
      </c>
      <c r="C63" s="1" t="s">
        <v>385</v>
      </c>
      <c r="D63" s="52" t="s">
        <v>384</v>
      </c>
      <c r="E63" s="1" t="s">
        <v>388</v>
      </c>
      <c r="F63" s="1"/>
      <c r="G63" s="1">
        <v>4500</v>
      </c>
      <c r="H63" s="1">
        <v>5500</v>
      </c>
      <c r="I63" s="3"/>
      <c r="J63" s="1"/>
      <c r="K63" s="1"/>
      <c r="L63" s="1"/>
      <c r="M63" s="1"/>
    </row>
    <row r="64" spans="2:13" x14ac:dyDescent="0.25">
      <c r="B64" s="7" t="s">
        <v>282</v>
      </c>
      <c r="C64" s="1" t="s">
        <v>386</v>
      </c>
      <c r="D64" s="52" t="s">
        <v>384</v>
      </c>
      <c r="E64" s="1" t="s">
        <v>389</v>
      </c>
      <c r="F64" s="1"/>
      <c r="G64" s="1">
        <v>5500</v>
      </c>
      <c r="H64" s="1">
        <v>6500</v>
      </c>
      <c r="I64" s="3"/>
      <c r="J64" s="1"/>
      <c r="K64" s="1"/>
      <c r="L64" s="1"/>
      <c r="M64" s="1"/>
    </row>
    <row r="65" spans="2:13" x14ac:dyDescent="0.25">
      <c r="B65" s="7" t="s">
        <v>282</v>
      </c>
      <c r="C65" s="1" t="s">
        <v>387</v>
      </c>
      <c r="D65" s="52" t="s">
        <v>384</v>
      </c>
      <c r="E65" s="1" t="s">
        <v>390</v>
      </c>
      <c r="F65" s="1"/>
      <c r="G65" s="1">
        <v>8000</v>
      </c>
      <c r="H65" s="1">
        <v>9000</v>
      </c>
      <c r="I65" s="3"/>
      <c r="J65" s="1"/>
      <c r="K65" s="1"/>
      <c r="L65" s="1"/>
      <c r="M65" s="1"/>
    </row>
    <row r="66" spans="2:13" x14ac:dyDescent="0.25">
      <c r="B66" s="7" t="s">
        <v>282</v>
      </c>
      <c r="C66" s="1" t="s">
        <v>391</v>
      </c>
      <c r="D66" s="52" t="s">
        <v>384</v>
      </c>
      <c r="E66" s="52" t="s">
        <v>40</v>
      </c>
      <c r="F66" s="52"/>
      <c r="G66" s="52">
        <v>1000</v>
      </c>
      <c r="H66" s="52">
        <v>2000</v>
      </c>
      <c r="I66" s="8"/>
      <c r="J66" s="1"/>
      <c r="K66" s="1"/>
      <c r="L66" s="1"/>
      <c r="M66" s="1"/>
    </row>
    <row r="67" spans="2:13" x14ac:dyDescent="0.25">
      <c r="B67" s="7" t="s">
        <v>162</v>
      </c>
      <c r="C67" s="1" t="s">
        <v>408</v>
      </c>
      <c r="D67" s="52" t="s">
        <v>407</v>
      </c>
      <c r="E67" s="52" t="s">
        <v>409</v>
      </c>
      <c r="F67" s="52"/>
      <c r="G67" s="52"/>
      <c r="H67" s="52"/>
      <c r="I67" s="8">
        <v>5500</v>
      </c>
      <c r="J67" s="1"/>
      <c r="K67" s="1"/>
      <c r="L67" s="1"/>
      <c r="M67" s="1"/>
    </row>
    <row r="68" spans="2:13" x14ac:dyDescent="0.25">
      <c r="B68" s="7" t="s">
        <v>162</v>
      </c>
      <c r="C68" s="1" t="s">
        <v>411</v>
      </c>
      <c r="D68" s="52" t="s">
        <v>407</v>
      </c>
      <c r="E68" s="52" t="s">
        <v>410</v>
      </c>
      <c r="F68" s="52"/>
      <c r="G68" s="52"/>
      <c r="H68" s="52"/>
      <c r="I68" s="8">
        <v>8500</v>
      </c>
      <c r="J68" s="52"/>
      <c r="K68" s="52"/>
      <c r="L68" s="52"/>
      <c r="M68" s="52"/>
    </row>
    <row r="69" spans="2:13" x14ac:dyDescent="0.25">
      <c r="B69" s="7" t="s">
        <v>162</v>
      </c>
      <c r="C69" s="1" t="s">
        <v>418</v>
      </c>
      <c r="D69" s="52" t="s">
        <v>414</v>
      </c>
      <c r="E69" s="52" t="s">
        <v>415</v>
      </c>
      <c r="F69" s="52"/>
      <c r="G69" s="52">
        <v>3200</v>
      </c>
      <c r="H69" s="52">
        <v>4400</v>
      </c>
      <c r="I69" s="8">
        <v>5600</v>
      </c>
      <c r="J69" s="52"/>
      <c r="K69" s="52"/>
      <c r="L69" s="52"/>
      <c r="M69" s="52"/>
    </row>
    <row r="70" spans="2:13" x14ac:dyDescent="0.25">
      <c r="B70" s="7" t="s">
        <v>162</v>
      </c>
      <c r="C70" s="1" t="s">
        <v>419</v>
      </c>
      <c r="D70" s="52" t="s">
        <v>414</v>
      </c>
      <c r="E70" s="1" t="s">
        <v>416</v>
      </c>
      <c r="F70" s="1"/>
      <c r="G70" s="1">
        <v>3500</v>
      </c>
      <c r="H70" s="1">
        <v>4700</v>
      </c>
      <c r="I70" s="3">
        <v>5900</v>
      </c>
      <c r="J70" s="52"/>
      <c r="K70" s="52"/>
      <c r="L70" s="52"/>
      <c r="M70" s="52"/>
    </row>
    <row r="71" spans="2:13" x14ac:dyDescent="0.25">
      <c r="B71" s="7" t="s">
        <v>162</v>
      </c>
      <c r="C71" s="1" t="s">
        <v>420</v>
      </c>
      <c r="D71" s="52" t="s">
        <v>414</v>
      </c>
      <c r="E71" s="1" t="s">
        <v>417</v>
      </c>
      <c r="F71" s="1"/>
      <c r="G71" s="1">
        <v>4500</v>
      </c>
      <c r="H71" s="1">
        <v>5700</v>
      </c>
      <c r="I71" s="3">
        <v>6900</v>
      </c>
      <c r="J71" s="52"/>
      <c r="K71" s="52"/>
      <c r="L71" s="52"/>
      <c r="M71" s="52"/>
    </row>
    <row r="72" spans="2:13" x14ac:dyDescent="0.25">
      <c r="B72" s="7" t="s">
        <v>162</v>
      </c>
      <c r="C72" s="1" t="s">
        <v>421</v>
      </c>
      <c r="D72" s="52" t="s">
        <v>414</v>
      </c>
      <c r="E72" s="52" t="s">
        <v>40</v>
      </c>
      <c r="F72" s="52"/>
      <c r="G72" s="52">
        <v>1000</v>
      </c>
      <c r="H72" s="52">
        <v>1600</v>
      </c>
      <c r="I72" s="8">
        <v>2200</v>
      </c>
      <c r="J72" s="52"/>
      <c r="K72" s="52"/>
      <c r="L72" s="52"/>
      <c r="M72" s="52"/>
    </row>
    <row r="73" spans="2:13" x14ac:dyDescent="0.25">
      <c r="B73" s="7" t="s">
        <v>162</v>
      </c>
      <c r="C73" s="1" t="s">
        <v>422</v>
      </c>
      <c r="D73" s="52" t="s">
        <v>414</v>
      </c>
      <c r="E73" s="1" t="s">
        <v>42</v>
      </c>
      <c r="F73" s="1"/>
      <c r="G73" s="1">
        <v>800</v>
      </c>
      <c r="H73" s="1">
        <v>1200</v>
      </c>
      <c r="I73" s="3">
        <v>1600</v>
      </c>
      <c r="J73" s="1"/>
      <c r="K73" s="1"/>
      <c r="L73" s="1"/>
      <c r="M73" s="1"/>
    </row>
    <row r="74" spans="2:13" x14ac:dyDescent="0.25">
      <c r="B74" s="7" t="s">
        <v>162</v>
      </c>
      <c r="C74" s="1" t="s">
        <v>423</v>
      </c>
      <c r="D74" s="52" t="s">
        <v>414</v>
      </c>
      <c r="E74" s="52" t="s">
        <v>41</v>
      </c>
      <c r="F74" s="52"/>
      <c r="G74" s="52">
        <v>500</v>
      </c>
      <c r="H74" s="52">
        <v>800</v>
      </c>
      <c r="I74" s="8">
        <v>1100</v>
      </c>
      <c r="J74" s="1"/>
      <c r="K74" s="1"/>
      <c r="L74" s="1"/>
      <c r="M74" s="1"/>
    </row>
    <row r="75" spans="2:13" x14ac:dyDescent="0.25">
      <c r="B75" s="7" t="s">
        <v>162</v>
      </c>
      <c r="C75" s="1" t="s">
        <v>429</v>
      </c>
      <c r="D75" s="52" t="s">
        <v>424</v>
      </c>
      <c r="E75" s="52" t="s">
        <v>425</v>
      </c>
      <c r="F75" s="52"/>
      <c r="G75" s="52">
        <v>2500</v>
      </c>
      <c r="H75" s="52">
        <v>3600</v>
      </c>
      <c r="I75" s="8">
        <v>4700</v>
      </c>
      <c r="J75" s="52"/>
      <c r="K75" s="52"/>
      <c r="L75" s="52"/>
      <c r="M75" s="52"/>
    </row>
    <row r="76" spans="2:13" x14ac:dyDescent="0.25">
      <c r="B76" s="7" t="s">
        <v>162</v>
      </c>
      <c r="C76" s="1" t="s">
        <v>430</v>
      </c>
      <c r="D76" s="52" t="s">
        <v>424</v>
      </c>
      <c r="E76" s="1" t="s">
        <v>426</v>
      </c>
      <c r="F76" s="1"/>
      <c r="G76" s="1">
        <v>2800</v>
      </c>
      <c r="H76" s="1">
        <v>3900</v>
      </c>
      <c r="I76" s="3">
        <v>5000</v>
      </c>
      <c r="J76" s="1"/>
      <c r="K76" s="1"/>
      <c r="L76" s="1"/>
      <c r="M76" s="1"/>
    </row>
    <row r="77" spans="2:13" x14ac:dyDescent="0.25">
      <c r="B77" s="7" t="s">
        <v>162</v>
      </c>
      <c r="C77" s="1" t="s">
        <v>431</v>
      </c>
      <c r="D77" s="52" t="s">
        <v>424</v>
      </c>
      <c r="E77" s="1" t="s">
        <v>427</v>
      </c>
      <c r="F77" s="1"/>
      <c r="G77" s="1">
        <v>3300</v>
      </c>
      <c r="H77" s="1">
        <v>4400</v>
      </c>
      <c r="I77" s="3">
        <v>5500</v>
      </c>
      <c r="J77" s="52"/>
      <c r="K77" s="52"/>
      <c r="L77" s="52"/>
      <c r="M77" s="52"/>
    </row>
    <row r="78" spans="2:13" x14ac:dyDescent="0.25">
      <c r="B78" s="7" t="s">
        <v>162</v>
      </c>
      <c r="C78" s="1" t="s">
        <v>432</v>
      </c>
      <c r="D78" s="52" t="s">
        <v>424</v>
      </c>
      <c r="E78" s="1" t="s">
        <v>428</v>
      </c>
      <c r="F78" s="1"/>
      <c r="G78" s="1">
        <v>3600</v>
      </c>
      <c r="H78" s="1">
        <v>4700</v>
      </c>
      <c r="I78" s="3">
        <v>5800</v>
      </c>
      <c r="J78" s="52"/>
      <c r="K78" s="52"/>
      <c r="L78" s="52"/>
      <c r="M78" s="52"/>
    </row>
    <row r="79" spans="2:13" x14ac:dyDescent="0.25">
      <c r="B79" s="7" t="s">
        <v>162</v>
      </c>
      <c r="C79" s="1" t="s">
        <v>433</v>
      </c>
      <c r="D79" s="52" t="s">
        <v>424</v>
      </c>
      <c r="E79" s="1" t="s">
        <v>40</v>
      </c>
      <c r="F79" s="1"/>
      <c r="G79" s="1">
        <v>800</v>
      </c>
      <c r="H79" s="1">
        <v>1350</v>
      </c>
      <c r="I79" s="3">
        <v>1900</v>
      </c>
      <c r="J79" s="1"/>
      <c r="K79" s="1"/>
      <c r="L79" s="1"/>
      <c r="M79" s="1"/>
    </row>
    <row r="80" spans="2:13" x14ac:dyDescent="0.25">
      <c r="B80" s="7" t="s">
        <v>162</v>
      </c>
      <c r="C80" s="1" t="s">
        <v>434</v>
      </c>
      <c r="D80" s="52" t="s">
        <v>424</v>
      </c>
      <c r="E80" s="1" t="s">
        <v>42</v>
      </c>
      <c r="F80" s="1"/>
      <c r="G80" s="1">
        <v>600</v>
      </c>
      <c r="H80" s="1">
        <v>900</v>
      </c>
      <c r="I80" s="3">
        <v>1200</v>
      </c>
      <c r="J80" s="1"/>
      <c r="K80" s="1"/>
      <c r="L80" s="1"/>
      <c r="M80" s="1"/>
    </row>
    <row r="81" spans="2:13" x14ac:dyDescent="0.25">
      <c r="B81" s="7" t="s">
        <v>162</v>
      </c>
      <c r="C81" s="1" t="s">
        <v>435</v>
      </c>
      <c r="D81" s="52" t="s">
        <v>424</v>
      </c>
      <c r="E81" s="52" t="s">
        <v>41</v>
      </c>
      <c r="F81" s="52"/>
      <c r="G81" s="52">
        <v>400</v>
      </c>
      <c r="H81" s="52">
        <v>700</v>
      </c>
      <c r="I81" s="8">
        <v>1000</v>
      </c>
      <c r="J81" s="1"/>
      <c r="K81" s="1"/>
      <c r="L81" s="1"/>
      <c r="M81" s="1"/>
    </row>
    <row r="82" spans="2:13" x14ac:dyDescent="0.25">
      <c r="B82" s="7" t="s">
        <v>158</v>
      </c>
      <c r="C82" s="1" t="s">
        <v>443</v>
      </c>
      <c r="D82" s="52" t="s">
        <v>436</v>
      </c>
      <c r="E82" s="52" t="s">
        <v>437</v>
      </c>
      <c r="F82" s="52"/>
      <c r="G82" s="52">
        <v>3300</v>
      </c>
      <c r="H82" s="52">
        <v>4300</v>
      </c>
      <c r="I82" s="8"/>
      <c r="J82" s="1"/>
      <c r="K82" s="1"/>
      <c r="L82" s="1"/>
      <c r="M82" s="1"/>
    </row>
    <row r="83" spans="2:13" x14ac:dyDescent="0.25">
      <c r="B83" s="7" t="s">
        <v>158</v>
      </c>
      <c r="C83" s="1" t="s">
        <v>444</v>
      </c>
      <c r="D83" s="52" t="s">
        <v>436</v>
      </c>
      <c r="E83" s="1" t="s">
        <v>438</v>
      </c>
      <c r="F83" s="1"/>
      <c r="G83" s="1">
        <v>3800</v>
      </c>
      <c r="H83" s="1">
        <v>4800</v>
      </c>
      <c r="I83" s="3"/>
      <c r="J83" s="1"/>
      <c r="K83" s="1"/>
      <c r="L83" s="1"/>
      <c r="M83" s="1"/>
    </row>
    <row r="84" spans="2:13" x14ac:dyDescent="0.25">
      <c r="B84" s="7" t="s">
        <v>158</v>
      </c>
      <c r="C84" s="1" t="s">
        <v>445</v>
      </c>
      <c r="D84" s="52" t="s">
        <v>436</v>
      </c>
      <c r="E84" s="1" t="s">
        <v>439</v>
      </c>
      <c r="F84" s="1"/>
      <c r="G84" s="1">
        <v>4100</v>
      </c>
      <c r="H84" s="1">
        <v>5100</v>
      </c>
      <c r="I84" s="3"/>
      <c r="J84" s="52"/>
      <c r="K84" s="52"/>
      <c r="L84" s="52"/>
      <c r="M84" s="52"/>
    </row>
    <row r="85" spans="2:13" x14ac:dyDescent="0.25">
      <c r="B85" s="7" t="s">
        <v>158</v>
      </c>
      <c r="C85" s="1" t="s">
        <v>446</v>
      </c>
      <c r="D85" s="52" t="s">
        <v>436</v>
      </c>
      <c r="E85" s="1" t="s">
        <v>440</v>
      </c>
      <c r="F85" s="1"/>
      <c r="G85" s="1">
        <v>4800</v>
      </c>
      <c r="H85" s="1">
        <v>6800</v>
      </c>
      <c r="I85" s="3"/>
      <c r="J85" s="52" t="s">
        <v>452</v>
      </c>
      <c r="K85" s="52"/>
      <c r="L85" s="52"/>
      <c r="M85" s="52"/>
    </row>
    <row r="86" spans="2:13" x14ac:dyDescent="0.25">
      <c r="B86" s="7" t="s">
        <v>158</v>
      </c>
      <c r="C86" s="1" t="s">
        <v>447</v>
      </c>
      <c r="D86" s="52" t="s">
        <v>436</v>
      </c>
      <c r="E86" s="1" t="s">
        <v>441</v>
      </c>
      <c r="F86" s="1"/>
      <c r="G86" s="1">
        <v>5000</v>
      </c>
      <c r="H86" s="1">
        <v>6000</v>
      </c>
      <c r="I86" s="3"/>
      <c r="J86" s="1" t="s">
        <v>452</v>
      </c>
      <c r="K86" s="1"/>
      <c r="L86" s="1"/>
      <c r="M86" s="1"/>
    </row>
    <row r="87" spans="2:13" x14ac:dyDescent="0.25">
      <c r="B87" s="7" t="s">
        <v>158</v>
      </c>
      <c r="C87" s="1" t="s">
        <v>448</v>
      </c>
      <c r="D87" s="52" t="s">
        <v>436</v>
      </c>
      <c r="E87" s="1" t="s">
        <v>442</v>
      </c>
      <c r="F87" s="1"/>
      <c r="G87" s="1">
        <v>5500</v>
      </c>
      <c r="H87" s="1">
        <v>6500</v>
      </c>
      <c r="I87" s="3"/>
      <c r="J87" s="1" t="s">
        <v>452</v>
      </c>
      <c r="K87" s="1"/>
      <c r="L87" s="1"/>
      <c r="M87" s="1"/>
    </row>
    <row r="88" spans="2:13" x14ac:dyDescent="0.25">
      <c r="B88" s="7" t="s">
        <v>158</v>
      </c>
      <c r="C88" s="1" t="s">
        <v>449</v>
      </c>
      <c r="D88" s="52" t="s">
        <v>436</v>
      </c>
      <c r="E88" s="1" t="s">
        <v>40</v>
      </c>
      <c r="F88" s="1"/>
      <c r="G88" s="1">
        <v>900</v>
      </c>
      <c r="H88" s="1">
        <v>1400</v>
      </c>
      <c r="I88" s="3"/>
      <c r="J88" s="1"/>
      <c r="K88" s="1"/>
      <c r="L88" s="1"/>
      <c r="M88" s="1"/>
    </row>
    <row r="89" spans="2:13" x14ac:dyDescent="0.25">
      <c r="B89" s="7" t="s">
        <v>158</v>
      </c>
      <c r="C89" s="1" t="s">
        <v>450</v>
      </c>
      <c r="D89" s="52" t="s">
        <v>436</v>
      </c>
      <c r="E89" s="1" t="s">
        <v>42</v>
      </c>
      <c r="F89" s="1"/>
      <c r="G89" s="1">
        <v>600</v>
      </c>
      <c r="H89" s="1">
        <v>900</v>
      </c>
      <c r="I89" s="3"/>
      <c r="J89" s="1"/>
      <c r="K89" s="1"/>
      <c r="L89" s="1"/>
      <c r="M89" s="1"/>
    </row>
    <row r="90" spans="2:13" x14ac:dyDescent="0.25">
      <c r="B90" s="7" t="s">
        <v>158</v>
      </c>
      <c r="C90" s="1" t="s">
        <v>451</v>
      </c>
      <c r="D90" s="52" t="s">
        <v>436</v>
      </c>
      <c r="E90" s="52" t="s">
        <v>41</v>
      </c>
      <c r="F90" s="1"/>
      <c r="G90" s="1">
        <v>400</v>
      </c>
      <c r="H90" s="1">
        <v>700</v>
      </c>
      <c r="I90" s="3"/>
      <c r="J90" s="1" t="s">
        <v>452</v>
      </c>
      <c r="K90" s="1"/>
      <c r="L90" s="1"/>
      <c r="M90" s="1"/>
    </row>
    <row r="91" spans="2:13" x14ac:dyDescent="0.25">
      <c r="B91" s="7" t="s">
        <v>282</v>
      </c>
      <c r="C91" s="1" t="s">
        <v>514</v>
      </c>
      <c r="D91" s="52" t="s">
        <v>370</v>
      </c>
      <c r="E91" s="1" t="s">
        <v>513</v>
      </c>
      <c r="F91" s="1"/>
      <c r="G91" s="1">
        <v>3750</v>
      </c>
      <c r="H91" s="1">
        <v>4950</v>
      </c>
      <c r="I91" s="3"/>
      <c r="J91" s="1"/>
      <c r="K91" s="1"/>
      <c r="L91" s="1"/>
      <c r="M91" s="1"/>
    </row>
    <row r="92" spans="2:13" x14ac:dyDescent="0.25">
      <c r="B92" s="7" t="s">
        <v>158</v>
      </c>
      <c r="C92" s="1" t="s">
        <v>515</v>
      </c>
      <c r="D92" s="52" t="s">
        <v>382</v>
      </c>
      <c r="E92" s="1" t="s">
        <v>519</v>
      </c>
      <c r="F92" s="1"/>
      <c r="G92" s="1">
        <v>3100</v>
      </c>
      <c r="H92" s="1">
        <v>4400</v>
      </c>
      <c r="I92" s="3"/>
      <c r="J92" s="1"/>
      <c r="K92" s="1"/>
      <c r="L92" s="1"/>
      <c r="M92" s="1"/>
    </row>
    <row r="93" spans="2:13" x14ac:dyDescent="0.25">
      <c r="B93" s="7" t="s">
        <v>158</v>
      </c>
      <c r="C93" s="1" t="s">
        <v>524</v>
      </c>
      <c r="D93" s="52" t="s">
        <v>382</v>
      </c>
      <c r="E93" s="52" t="s">
        <v>520</v>
      </c>
      <c r="F93" s="52"/>
      <c r="G93" s="52">
        <v>3600</v>
      </c>
      <c r="H93" s="1">
        <v>4900</v>
      </c>
      <c r="I93" s="8"/>
      <c r="J93" s="1" t="s">
        <v>452</v>
      </c>
      <c r="K93" s="1"/>
      <c r="L93" s="1"/>
      <c r="M93" s="1"/>
    </row>
    <row r="94" spans="2:13" x14ac:dyDescent="0.25">
      <c r="B94" s="7" t="s">
        <v>158</v>
      </c>
      <c r="C94" s="1" t="s">
        <v>525</v>
      </c>
      <c r="D94" s="52" t="s">
        <v>382</v>
      </c>
      <c r="E94" s="52" t="s">
        <v>521</v>
      </c>
      <c r="F94" s="52"/>
      <c r="G94" s="52">
        <v>3700</v>
      </c>
      <c r="H94" s="1">
        <v>5000</v>
      </c>
      <c r="I94" s="8"/>
      <c r="J94" s="1"/>
      <c r="K94" s="1"/>
      <c r="L94" s="1"/>
      <c r="M94" s="1"/>
    </row>
    <row r="95" spans="2:13" x14ac:dyDescent="0.25">
      <c r="B95" s="7" t="s">
        <v>158</v>
      </c>
      <c r="C95" s="1" t="s">
        <v>526</v>
      </c>
      <c r="D95" s="52" t="s">
        <v>382</v>
      </c>
      <c r="E95" s="52" t="s">
        <v>522</v>
      </c>
      <c r="F95" s="52"/>
      <c r="G95" s="52">
        <v>5500</v>
      </c>
      <c r="H95" s="1">
        <v>6800</v>
      </c>
      <c r="I95" s="8"/>
      <c r="J95" s="1"/>
      <c r="K95" s="1"/>
      <c r="L95" s="1"/>
      <c r="M95" s="1"/>
    </row>
    <row r="96" spans="2:13" x14ac:dyDescent="0.25">
      <c r="B96" s="7" t="s">
        <v>158</v>
      </c>
      <c r="C96" s="1" t="s">
        <v>527</v>
      </c>
      <c r="D96" s="52" t="s">
        <v>382</v>
      </c>
      <c r="E96" s="52" t="s">
        <v>523</v>
      </c>
      <c r="F96" s="52"/>
      <c r="G96" s="52">
        <v>6000</v>
      </c>
      <c r="H96" s="1">
        <v>7300</v>
      </c>
      <c r="I96" s="8"/>
      <c r="J96" s="52"/>
      <c r="K96" s="52"/>
      <c r="L96" s="52"/>
      <c r="M96" s="52"/>
    </row>
    <row r="97" spans="2:13" x14ac:dyDescent="0.25">
      <c r="B97" s="7" t="s">
        <v>158</v>
      </c>
      <c r="C97" s="1" t="s">
        <v>528</v>
      </c>
      <c r="D97" s="52" t="s">
        <v>382</v>
      </c>
      <c r="E97" s="1" t="s">
        <v>40</v>
      </c>
      <c r="F97" s="1"/>
      <c r="G97" s="1">
        <v>800</v>
      </c>
      <c r="H97" s="1">
        <v>1450</v>
      </c>
      <c r="I97" s="3"/>
      <c r="J97" s="52"/>
      <c r="K97" s="52"/>
      <c r="L97" s="52"/>
      <c r="M97" s="52"/>
    </row>
    <row r="98" spans="2:13" x14ac:dyDescent="0.25">
      <c r="B98" s="7" t="s">
        <v>158</v>
      </c>
      <c r="C98" s="1" t="s">
        <v>529</v>
      </c>
      <c r="D98" s="52" t="s">
        <v>382</v>
      </c>
      <c r="E98" s="1" t="s">
        <v>42</v>
      </c>
      <c r="F98" s="1"/>
      <c r="G98" s="1">
        <v>600</v>
      </c>
      <c r="H98" s="1">
        <v>1000</v>
      </c>
      <c r="I98" s="3"/>
      <c r="J98" s="52"/>
      <c r="K98" s="52"/>
      <c r="L98" s="52"/>
      <c r="M98" s="52"/>
    </row>
    <row r="99" spans="2:13" x14ac:dyDescent="0.25">
      <c r="B99" s="7" t="s">
        <v>158</v>
      </c>
      <c r="C99" s="1" t="s">
        <v>530</v>
      </c>
      <c r="D99" s="52" t="s">
        <v>382</v>
      </c>
      <c r="E99" s="52" t="s">
        <v>41</v>
      </c>
      <c r="F99" s="52"/>
      <c r="G99" s="52">
        <v>500</v>
      </c>
      <c r="H99" s="52">
        <v>900</v>
      </c>
      <c r="I99" s="8"/>
      <c r="J99" s="52"/>
      <c r="K99" s="52"/>
      <c r="L99" s="52"/>
      <c r="M99" s="52"/>
    </row>
    <row r="100" spans="2:13" x14ac:dyDescent="0.25">
      <c r="B100" s="7" t="s">
        <v>282</v>
      </c>
      <c r="C100" s="1" t="s">
        <v>533</v>
      </c>
      <c r="D100" s="52" t="s">
        <v>381</v>
      </c>
      <c r="E100" s="52" t="s">
        <v>532</v>
      </c>
      <c r="F100" s="52"/>
      <c r="G100" s="52">
        <v>3900</v>
      </c>
      <c r="H100" s="52">
        <f>RAW[[#This Row],[Double CP]]+1300</f>
        <v>5200</v>
      </c>
      <c r="I100" s="8"/>
      <c r="J100" s="1"/>
      <c r="K100" s="1"/>
      <c r="L100" s="1"/>
      <c r="M100" s="1"/>
    </row>
    <row r="101" spans="2:13" x14ac:dyDescent="0.25">
      <c r="B101" s="7" t="s">
        <v>162</v>
      </c>
      <c r="C101" s="52" t="s">
        <v>555</v>
      </c>
      <c r="D101" s="52" t="s">
        <v>554</v>
      </c>
      <c r="E101" s="52" t="s">
        <v>583</v>
      </c>
      <c r="F101" s="52"/>
      <c r="G101" s="52">
        <v>3000</v>
      </c>
      <c r="H101" s="52"/>
      <c r="I101" s="8"/>
      <c r="J101" s="1"/>
      <c r="K101" s="1"/>
      <c r="L101" s="1"/>
      <c r="M101" s="1"/>
    </row>
    <row r="102" spans="2:13" x14ac:dyDescent="0.25">
      <c r="B102" s="7" t="s">
        <v>163</v>
      </c>
      <c r="C102" s="1" t="s">
        <v>556</v>
      </c>
      <c r="D102" s="52" t="s">
        <v>557</v>
      </c>
      <c r="E102" s="52" t="s">
        <v>558</v>
      </c>
      <c r="F102" s="52"/>
      <c r="G102" s="52">
        <v>3400</v>
      </c>
      <c r="H102" s="52">
        <v>4600</v>
      </c>
      <c r="I102" s="8"/>
      <c r="J102" s="52"/>
      <c r="K102" s="52"/>
      <c r="L102" s="52"/>
      <c r="M102" s="52"/>
    </row>
    <row r="103" spans="2:13" x14ac:dyDescent="0.25">
      <c r="B103" s="7" t="s">
        <v>163</v>
      </c>
      <c r="C103" s="52" t="s">
        <v>564</v>
      </c>
      <c r="D103" s="52" t="s">
        <v>557</v>
      </c>
      <c r="E103" s="1" t="s">
        <v>559</v>
      </c>
      <c r="F103" s="1"/>
      <c r="G103" s="1">
        <v>3400</v>
      </c>
      <c r="H103" s="1">
        <v>4600</v>
      </c>
      <c r="I103" s="3"/>
      <c r="J103" s="52"/>
      <c r="K103" s="52"/>
      <c r="L103" s="52"/>
      <c r="M103" s="52"/>
    </row>
    <row r="104" spans="2:13" x14ac:dyDescent="0.25">
      <c r="B104" s="7" t="s">
        <v>163</v>
      </c>
      <c r="C104" s="1" t="s">
        <v>565</v>
      </c>
      <c r="D104" s="52" t="s">
        <v>557</v>
      </c>
      <c r="E104" s="1" t="s">
        <v>560</v>
      </c>
      <c r="F104" s="1"/>
      <c r="G104" s="1">
        <v>3600</v>
      </c>
      <c r="H104" s="1">
        <v>4800</v>
      </c>
      <c r="I104" s="3"/>
      <c r="J104" s="52"/>
      <c r="K104" s="52"/>
      <c r="L104" s="52"/>
      <c r="M104" s="52"/>
    </row>
    <row r="105" spans="2:13" x14ac:dyDescent="0.25">
      <c r="B105" s="7" t="s">
        <v>163</v>
      </c>
      <c r="C105" s="52" t="s">
        <v>566</v>
      </c>
      <c r="D105" s="52" t="s">
        <v>557</v>
      </c>
      <c r="E105" s="1" t="s">
        <v>561</v>
      </c>
      <c r="F105" s="1"/>
      <c r="G105" s="1">
        <v>3900</v>
      </c>
      <c r="H105" s="1">
        <v>5200</v>
      </c>
      <c r="I105" s="3"/>
      <c r="J105" s="52"/>
      <c r="K105" s="52"/>
      <c r="L105" s="52"/>
      <c r="M105" s="52"/>
    </row>
    <row r="106" spans="2:13" x14ac:dyDescent="0.25">
      <c r="B106" s="7" t="s">
        <v>163</v>
      </c>
      <c r="C106" s="1" t="s">
        <v>567</v>
      </c>
      <c r="D106" s="52" t="s">
        <v>557</v>
      </c>
      <c r="E106" s="1" t="s">
        <v>562</v>
      </c>
      <c r="F106" s="1"/>
      <c r="G106" s="1">
        <v>5000</v>
      </c>
      <c r="H106" s="1">
        <v>6200</v>
      </c>
      <c r="I106" s="3"/>
      <c r="J106" s="1"/>
      <c r="K106" s="1"/>
      <c r="L106" s="1"/>
      <c r="M106" s="1"/>
    </row>
    <row r="107" spans="2:13" x14ac:dyDescent="0.25">
      <c r="B107" s="7" t="s">
        <v>163</v>
      </c>
      <c r="C107" s="52" t="s">
        <v>568</v>
      </c>
      <c r="D107" s="52" t="s">
        <v>557</v>
      </c>
      <c r="E107" s="1" t="s">
        <v>563</v>
      </c>
      <c r="F107" s="1"/>
      <c r="G107" s="1">
        <v>5500</v>
      </c>
      <c r="H107" s="1">
        <v>7200</v>
      </c>
      <c r="I107" s="3"/>
      <c r="J107" s="1"/>
      <c r="K107" s="1"/>
      <c r="L107" s="1"/>
      <c r="M107" s="1"/>
    </row>
    <row r="108" spans="2:13" x14ac:dyDescent="0.25">
      <c r="B108" s="7" t="s">
        <v>586</v>
      </c>
      <c r="C108" s="1" t="s">
        <v>587</v>
      </c>
      <c r="D108" s="52" t="s">
        <v>585</v>
      </c>
      <c r="E108" s="52" t="s">
        <v>588</v>
      </c>
      <c r="F108" s="52"/>
      <c r="G108" s="52">
        <v>6500</v>
      </c>
      <c r="H108" s="52"/>
      <c r="I108" s="8"/>
      <c r="J108" s="1"/>
      <c r="K108" s="1"/>
      <c r="L108" s="1"/>
      <c r="M108" s="1"/>
    </row>
    <row r="109" spans="2:13" x14ac:dyDescent="0.25">
      <c r="B109" s="7" t="s">
        <v>586</v>
      </c>
      <c r="C109" s="52" t="s">
        <v>595</v>
      </c>
      <c r="D109" s="52" t="s">
        <v>585</v>
      </c>
      <c r="E109" s="52" t="s">
        <v>589</v>
      </c>
      <c r="F109" s="52"/>
      <c r="G109" s="52">
        <v>7000</v>
      </c>
      <c r="H109" s="52"/>
      <c r="I109" s="8"/>
      <c r="J109" s="1"/>
      <c r="K109" s="1"/>
      <c r="L109" s="1"/>
      <c r="M109" s="1"/>
    </row>
    <row r="110" spans="2:13" x14ac:dyDescent="0.25">
      <c r="B110" s="7" t="s">
        <v>586</v>
      </c>
      <c r="C110" s="1" t="s">
        <v>596</v>
      </c>
      <c r="D110" s="52" t="s">
        <v>585</v>
      </c>
      <c r="E110" s="52" t="s">
        <v>590</v>
      </c>
      <c r="F110" s="52"/>
      <c r="G110" s="52">
        <v>7500</v>
      </c>
      <c r="H110" s="52"/>
      <c r="I110" s="8"/>
      <c r="J110" s="1"/>
      <c r="K110" s="1"/>
      <c r="L110" s="1"/>
      <c r="M110" s="1"/>
    </row>
    <row r="111" spans="2:13" x14ac:dyDescent="0.25">
      <c r="B111" s="7" t="s">
        <v>586</v>
      </c>
      <c r="C111" s="52" t="s">
        <v>597</v>
      </c>
      <c r="D111" s="52" t="s">
        <v>585</v>
      </c>
      <c r="E111" s="52" t="s">
        <v>591</v>
      </c>
      <c r="F111" s="52"/>
      <c r="G111" s="52">
        <v>8500</v>
      </c>
      <c r="H111" s="52"/>
      <c r="I111" s="8"/>
      <c r="J111" s="52"/>
      <c r="K111" s="52"/>
      <c r="L111" s="52"/>
      <c r="M111" s="52"/>
    </row>
    <row r="112" spans="2:13" x14ac:dyDescent="0.25">
      <c r="B112" s="7" t="s">
        <v>586</v>
      </c>
      <c r="C112" s="1" t="s">
        <v>598</v>
      </c>
      <c r="D112" s="52" t="s">
        <v>585</v>
      </c>
      <c r="E112" s="52" t="s">
        <v>592</v>
      </c>
      <c r="F112" s="52"/>
      <c r="G112" s="52">
        <v>9000</v>
      </c>
      <c r="H112" s="52"/>
      <c r="I112" s="8"/>
      <c r="J112" s="52"/>
      <c r="K112" s="52"/>
      <c r="L112" s="52"/>
      <c r="M112" s="52"/>
    </row>
    <row r="113" spans="2:13" x14ac:dyDescent="0.25">
      <c r="B113" s="7" t="s">
        <v>586</v>
      </c>
      <c r="C113" s="1" t="s">
        <v>599</v>
      </c>
      <c r="D113" s="52" t="s">
        <v>585</v>
      </c>
      <c r="E113" s="52" t="s">
        <v>593</v>
      </c>
      <c r="F113" s="52"/>
      <c r="G113" s="52">
        <v>12000</v>
      </c>
      <c r="H113" s="52"/>
      <c r="I113" s="8"/>
      <c r="J113" s="52"/>
      <c r="K113" s="52"/>
      <c r="L113" s="52"/>
      <c r="M113" s="52"/>
    </row>
    <row r="114" spans="2:13" x14ac:dyDescent="0.25">
      <c r="B114" s="7" t="s">
        <v>586</v>
      </c>
      <c r="C114" s="52" t="s">
        <v>600</v>
      </c>
      <c r="D114" s="52" t="s">
        <v>585</v>
      </c>
      <c r="E114" s="52" t="s">
        <v>594</v>
      </c>
      <c r="F114" s="52"/>
      <c r="G114" s="52">
        <v>3500</v>
      </c>
      <c r="H114" s="52"/>
      <c r="I114" s="8"/>
      <c r="J114" s="52"/>
      <c r="K114" s="52"/>
      <c r="L114" s="52"/>
      <c r="M114" s="52"/>
    </row>
    <row r="115" spans="2:13" x14ac:dyDescent="0.25">
      <c r="B115" s="7" t="s">
        <v>162</v>
      </c>
      <c r="C115" s="1" t="s">
        <v>611</v>
      </c>
      <c r="D115" s="52" t="s">
        <v>383</v>
      </c>
      <c r="E115" s="52" t="s">
        <v>609</v>
      </c>
      <c r="F115" s="52"/>
      <c r="G115" s="52">
        <v>5600</v>
      </c>
      <c r="H115" s="52">
        <v>6800</v>
      </c>
      <c r="I115" s="8"/>
      <c r="J115" s="52"/>
      <c r="K115" s="52"/>
      <c r="L115" s="52"/>
      <c r="M115" s="52"/>
    </row>
    <row r="116" spans="2:13" x14ac:dyDescent="0.25">
      <c r="B116" s="7" t="s">
        <v>162</v>
      </c>
      <c r="C116" s="1" t="s">
        <v>612</v>
      </c>
      <c r="D116" s="52" t="s">
        <v>383</v>
      </c>
      <c r="E116" s="1" t="s">
        <v>42</v>
      </c>
      <c r="F116" s="1"/>
      <c r="G116" s="1">
        <v>600</v>
      </c>
      <c r="H116" s="1">
        <v>1000</v>
      </c>
      <c r="I116" s="3"/>
      <c r="J116" s="52"/>
      <c r="K116" s="52"/>
      <c r="L116" s="52"/>
      <c r="M116" s="52"/>
    </row>
    <row r="117" spans="2:13" x14ac:dyDescent="0.25">
      <c r="B117" s="7" t="s">
        <v>162</v>
      </c>
      <c r="C117" s="52" t="s">
        <v>613</v>
      </c>
      <c r="D117" s="52" t="s">
        <v>383</v>
      </c>
      <c r="E117" s="52" t="s">
        <v>41</v>
      </c>
      <c r="F117" s="52"/>
      <c r="G117" s="52">
        <v>500</v>
      </c>
      <c r="H117" s="52">
        <v>900</v>
      </c>
      <c r="I117" s="8"/>
      <c r="J117" s="52"/>
      <c r="K117" s="52"/>
      <c r="L117" s="52"/>
      <c r="M117" s="52"/>
    </row>
    <row r="118" spans="2:13" x14ac:dyDescent="0.25">
      <c r="B118" s="7" t="s">
        <v>282</v>
      </c>
      <c r="C118" s="52" t="s">
        <v>615</v>
      </c>
      <c r="D118" s="52" t="s">
        <v>614</v>
      </c>
      <c r="E118" s="52" t="s">
        <v>616</v>
      </c>
      <c r="F118" s="52"/>
      <c r="G118" s="52">
        <v>6250</v>
      </c>
      <c r="H118" s="52">
        <v>7050</v>
      </c>
      <c r="I118" s="8"/>
      <c r="J118" s="52"/>
      <c r="K118" s="52"/>
      <c r="L118" s="52"/>
      <c r="M118" s="52"/>
    </row>
    <row r="119" spans="2:13" x14ac:dyDescent="0.25">
      <c r="B119" s="7" t="s">
        <v>282</v>
      </c>
      <c r="C119" s="1" t="s">
        <v>620</v>
      </c>
      <c r="D119" s="52" t="s">
        <v>614</v>
      </c>
      <c r="E119" s="52" t="s">
        <v>617</v>
      </c>
      <c r="F119" s="52"/>
      <c r="G119" s="52">
        <v>6750</v>
      </c>
      <c r="H119" s="52">
        <v>7550</v>
      </c>
      <c r="I119" s="8"/>
      <c r="J119" s="1"/>
      <c r="K119" s="1"/>
      <c r="L119" s="1"/>
      <c r="M119" s="1"/>
    </row>
    <row r="120" spans="2:13" x14ac:dyDescent="0.25">
      <c r="B120" s="7" t="s">
        <v>282</v>
      </c>
      <c r="C120" s="52" t="s">
        <v>621</v>
      </c>
      <c r="D120" s="52" t="s">
        <v>614</v>
      </c>
      <c r="E120" s="52" t="s">
        <v>618</v>
      </c>
      <c r="F120" s="52"/>
      <c r="G120" s="52">
        <v>10000</v>
      </c>
      <c r="H120" s="52">
        <v>10800</v>
      </c>
      <c r="I120" s="8"/>
      <c r="J120" s="52"/>
      <c r="K120" s="52"/>
      <c r="L120" s="52"/>
      <c r="M120" s="52"/>
    </row>
    <row r="121" spans="2:13" x14ac:dyDescent="0.25">
      <c r="B121" s="7" t="s">
        <v>282</v>
      </c>
      <c r="C121" s="52" t="s">
        <v>622</v>
      </c>
      <c r="D121" s="52" t="s">
        <v>614</v>
      </c>
      <c r="E121" s="52" t="s">
        <v>619</v>
      </c>
      <c r="F121" s="52"/>
      <c r="G121" s="52">
        <v>12500</v>
      </c>
      <c r="H121" s="52">
        <v>13300</v>
      </c>
      <c r="I121" s="8"/>
      <c r="J121" s="52"/>
      <c r="K121" s="52"/>
      <c r="L121" s="52"/>
      <c r="M121" s="52"/>
    </row>
    <row r="122" spans="2:13" x14ac:dyDescent="0.25">
      <c r="B122" s="7" t="s">
        <v>282</v>
      </c>
      <c r="C122" s="52" t="s">
        <v>623</v>
      </c>
      <c r="D122" s="52" t="s">
        <v>614</v>
      </c>
      <c r="E122" s="1" t="s">
        <v>40</v>
      </c>
      <c r="F122" s="1"/>
      <c r="G122" s="1">
        <v>1750</v>
      </c>
      <c r="H122" s="1">
        <v>2350</v>
      </c>
      <c r="I122" s="3"/>
      <c r="J122" s="52"/>
      <c r="K122" s="52"/>
      <c r="L122" s="52"/>
      <c r="M122" s="52"/>
    </row>
    <row r="123" spans="2:13" x14ac:dyDescent="0.25">
      <c r="B123" s="7" t="s">
        <v>282</v>
      </c>
      <c r="C123" s="52" t="s">
        <v>624</v>
      </c>
      <c r="D123" s="52" t="s">
        <v>614</v>
      </c>
      <c r="E123" s="1" t="s">
        <v>42</v>
      </c>
      <c r="F123" s="1"/>
      <c r="G123" s="1">
        <v>1250</v>
      </c>
      <c r="H123" s="1">
        <v>1850</v>
      </c>
      <c r="I123" s="3"/>
      <c r="J123" s="52"/>
      <c r="K123" s="52"/>
      <c r="L123" s="52"/>
      <c r="M123" s="52"/>
    </row>
    <row r="124" spans="2:13" x14ac:dyDescent="0.25">
      <c r="B124" s="7" t="s">
        <v>282</v>
      </c>
      <c r="C124" s="52" t="s">
        <v>625</v>
      </c>
      <c r="D124" s="52" t="s">
        <v>614</v>
      </c>
      <c r="E124" s="52" t="s">
        <v>41</v>
      </c>
      <c r="F124" s="52"/>
      <c r="G124" s="52">
        <v>750</v>
      </c>
      <c r="H124" s="1">
        <v>1350</v>
      </c>
      <c r="I124" s="8"/>
      <c r="J124" s="52"/>
      <c r="K124" s="52"/>
      <c r="L124" s="52"/>
      <c r="M124" s="52"/>
    </row>
    <row r="125" spans="2:13" x14ac:dyDescent="0.25">
      <c r="B125" s="7" t="s">
        <v>662</v>
      </c>
      <c r="C125" s="52" t="s">
        <v>654</v>
      </c>
      <c r="D125" s="52" t="s">
        <v>650</v>
      </c>
      <c r="E125" s="52" t="s">
        <v>651</v>
      </c>
      <c r="F125" s="52"/>
      <c r="G125" s="52">
        <v>3100</v>
      </c>
      <c r="H125" s="52">
        <v>4300</v>
      </c>
      <c r="I125" s="8"/>
      <c r="J125" s="1"/>
      <c r="K125" s="1"/>
      <c r="L125" s="1"/>
      <c r="M125" s="1"/>
    </row>
    <row r="126" spans="2:13" x14ac:dyDescent="0.25">
      <c r="B126" s="7" t="s">
        <v>662</v>
      </c>
      <c r="C126" s="52" t="s">
        <v>655</v>
      </c>
      <c r="D126" s="52" t="s">
        <v>650</v>
      </c>
      <c r="E126" s="52" t="s">
        <v>169</v>
      </c>
      <c r="F126" s="52"/>
      <c r="G126" s="52">
        <v>3400</v>
      </c>
      <c r="H126" s="52">
        <v>4600</v>
      </c>
      <c r="I126" s="8"/>
      <c r="J126" s="1"/>
      <c r="K126" s="1"/>
      <c r="L126" s="1"/>
      <c r="M126" s="1"/>
    </row>
    <row r="127" spans="2:13" x14ac:dyDescent="0.25">
      <c r="B127" s="7" t="s">
        <v>662</v>
      </c>
      <c r="C127" s="52" t="s">
        <v>656</v>
      </c>
      <c r="D127" s="52" t="s">
        <v>650</v>
      </c>
      <c r="E127" s="52" t="s">
        <v>104</v>
      </c>
      <c r="F127" s="52"/>
      <c r="G127" s="52">
        <v>3500</v>
      </c>
      <c r="H127" s="52">
        <v>4700</v>
      </c>
      <c r="I127" s="8"/>
      <c r="J127" s="52"/>
      <c r="K127" s="52"/>
      <c r="L127" s="52"/>
      <c r="M127" s="52"/>
    </row>
    <row r="128" spans="2:13" x14ac:dyDescent="0.25">
      <c r="B128" s="7" t="s">
        <v>662</v>
      </c>
      <c r="C128" s="52" t="s">
        <v>657</v>
      </c>
      <c r="D128" s="52" t="s">
        <v>650</v>
      </c>
      <c r="E128" s="52" t="s">
        <v>652</v>
      </c>
      <c r="F128" s="52"/>
      <c r="G128" s="52">
        <v>5900</v>
      </c>
      <c r="H128" s="52">
        <v>7100</v>
      </c>
      <c r="I128" s="8"/>
      <c r="J128" s="52"/>
      <c r="K128" s="52"/>
      <c r="L128" s="52"/>
      <c r="M128" s="52"/>
    </row>
    <row r="129" spans="2:13" x14ac:dyDescent="0.25">
      <c r="B129" s="7" t="s">
        <v>662</v>
      </c>
      <c r="C129" s="52" t="s">
        <v>658</v>
      </c>
      <c r="D129" s="52" t="s">
        <v>650</v>
      </c>
      <c r="E129" s="52" t="s">
        <v>653</v>
      </c>
      <c r="F129" s="52"/>
      <c r="G129" s="52">
        <v>6900</v>
      </c>
      <c r="H129" s="52">
        <v>8100</v>
      </c>
      <c r="I129" s="8"/>
      <c r="J129" s="52"/>
      <c r="K129" s="52"/>
      <c r="L129" s="52"/>
      <c r="M129" s="52"/>
    </row>
    <row r="130" spans="2:13" x14ac:dyDescent="0.25">
      <c r="B130" s="7" t="s">
        <v>662</v>
      </c>
      <c r="C130" s="52" t="s">
        <v>659</v>
      </c>
      <c r="D130" s="52" t="s">
        <v>650</v>
      </c>
      <c r="E130" s="1" t="s">
        <v>40</v>
      </c>
      <c r="F130" s="1"/>
      <c r="G130" s="1">
        <v>800</v>
      </c>
      <c r="H130" s="1">
        <v>1200</v>
      </c>
      <c r="I130" s="3"/>
      <c r="J130" s="52"/>
      <c r="K130" s="52"/>
      <c r="L130" s="52"/>
      <c r="M130" s="52"/>
    </row>
    <row r="131" spans="2:13" x14ac:dyDescent="0.25">
      <c r="B131" s="7" t="s">
        <v>662</v>
      </c>
      <c r="C131" s="52" t="s">
        <v>660</v>
      </c>
      <c r="D131" s="52" t="s">
        <v>650</v>
      </c>
      <c r="E131" s="1" t="s">
        <v>42</v>
      </c>
      <c r="F131" s="1"/>
      <c r="G131" s="1">
        <v>600</v>
      </c>
      <c r="H131" s="1">
        <v>1000</v>
      </c>
      <c r="I131" s="3"/>
      <c r="J131" s="52"/>
      <c r="K131" s="52"/>
      <c r="L131" s="52"/>
      <c r="M131" s="52"/>
    </row>
    <row r="132" spans="2:13" x14ac:dyDescent="0.25">
      <c r="B132" s="7" t="s">
        <v>662</v>
      </c>
      <c r="C132" s="52" t="s">
        <v>661</v>
      </c>
      <c r="D132" s="52" t="s">
        <v>650</v>
      </c>
      <c r="E132" s="52" t="s">
        <v>41</v>
      </c>
      <c r="F132" s="52"/>
      <c r="G132" s="52">
        <v>500</v>
      </c>
      <c r="H132" s="1">
        <v>900</v>
      </c>
      <c r="I132" s="8"/>
      <c r="J132" s="52"/>
      <c r="K132" s="52"/>
      <c r="L132" s="52"/>
      <c r="M132" s="52"/>
    </row>
    <row r="133" spans="2:13" x14ac:dyDescent="0.25">
      <c r="B133" s="7" t="s">
        <v>282</v>
      </c>
      <c r="C133" s="52" t="s">
        <v>663</v>
      </c>
      <c r="D133" s="52" t="s">
        <v>370</v>
      </c>
      <c r="E133" s="1" t="s">
        <v>42</v>
      </c>
      <c r="F133" s="52"/>
      <c r="G133" s="52">
        <v>600</v>
      </c>
      <c r="H133" s="52">
        <v>1000</v>
      </c>
      <c r="I133" s="8"/>
      <c r="J133" s="1"/>
      <c r="K133" s="1"/>
      <c r="L133" s="1"/>
      <c r="M133" s="1"/>
    </row>
    <row r="134" spans="2:13" x14ac:dyDescent="0.25">
      <c r="B134" s="7" t="s">
        <v>282</v>
      </c>
      <c r="C134" s="52" t="s">
        <v>664</v>
      </c>
      <c r="D134" s="52" t="s">
        <v>370</v>
      </c>
      <c r="E134" s="52" t="s">
        <v>41</v>
      </c>
      <c r="F134" s="1"/>
      <c r="G134" s="1">
        <v>500</v>
      </c>
      <c r="H134" s="1">
        <v>900</v>
      </c>
      <c r="I134" s="3"/>
      <c r="J134" s="1"/>
      <c r="K134" s="1"/>
      <c r="L134" s="1"/>
      <c r="M134" s="1"/>
    </row>
    <row r="135" spans="2:13" x14ac:dyDescent="0.25">
      <c r="B135" s="7" t="s">
        <v>163</v>
      </c>
      <c r="C135" s="52" t="s">
        <v>665</v>
      </c>
      <c r="D135" s="52" t="s">
        <v>557</v>
      </c>
      <c r="E135" s="1" t="s">
        <v>40</v>
      </c>
      <c r="F135" s="52"/>
      <c r="G135" s="52">
        <v>800</v>
      </c>
      <c r="H135" s="52">
        <v>1200</v>
      </c>
      <c r="I135" s="8"/>
      <c r="J135" s="52"/>
      <c r="K135" s="52"/>
      <c r="L135" s="52"/>
      <c r="M135" s="52"/>
    </row>
    <row r="136" spans="2:13" x14ac:dyDescent="0.25">
      <c r="B136" s="7" t="s">
        <v>163</v>
      </c>
      <c r="C136" s="52" t="s">
        <v>666</v>
      </c>
      <c r="D136" s="52" t="s">
        <v>557</v>
      </c>
      <c r="E136" s="1" t="s">
        <v>42</v>
      </c>
      <c r="F136" s="1"/>
      <c r="G136" s="1">
        <v>600</v>
      </c>
      <c r="H136" s="1">
        <v>1000</v>
      </c>
      <c r="I136" s="3"/>
      <c r="J136" s="52"/>
      <c r="K136" s="52"/>
      <c r="L136" s="52"/>
      <c r="M136" s="52"/>
    </row>
    <row r="137" spans="2:13" x14ac:dyDescent="0.25">
      <c r="B137" s="7" t="s">
        <v>163</v>
      </c>
      <c r="C137" s="52" t="s">
        <v>667</v>
      </c>
      <c r="D137" s="52" t="s">
        <v>557</v>
      </c>
      <c r="E137" s="52" t="s">
        <v>41</v>
      </c>
      <c r="F137" s="1"/>
      <c r="G137" s="1">
        <v>500</v>
      </c>
      <c r="H137" s="1">
        <v>900</v>
      </c>
      <c r="I137" s="3"/>
      <c r="J137" s="1"/>
      <c r="K137" s="1"/>
      <c r="L137" s="1"/>
      <c r="M137" s="1"/>
    </row>
    <row r="138" spans="2:13" x14ac:dyDescent="0.25">
      <c r="B138" s="7" t="s">
        <v>282</v>
      </c>
      <c r="C138" s="52" t="s">
        <v>668</v>
      </c>
      <c r="D138" s="52" t="s">
        <v>381</v>
      </c>
      <c r="E138" s="1" t="s">
        <v>42</v>
      </c>
      <c r="F138" s="52"/>
      <c r="G138" s="52">
        <v>600</v>
      </c>
      <c r="H138" s="52">
        <v>1250</v>
      </c>
      <c r="I138" s="8"/>
      <c r="J138" s="52"/>
      <c r="K138" s="52"/>
      <c r="L138" s="52"/>
      <c r="M138" s="52"/>
    </row>
    <row r="139" spans="2:13" x14ac:dyDescent="0.25">
      <c r="B139" s="7" t="s">
        <v>282</v>
      </c>
      <c r="C139" s="52" t="s">
        <v>669</v>
      </c>
      <c r="D139" s="52" t="s">
        <v>381</v>
      </c>
      <c r="E139" s="52" t="s">
        <v>41</v>
      </c>
      <c r="F139" s="1"/>
      <c r="G139" s="1">
        <v>500</v>
      </c>
      <c r="H139" s="1">
        <v>1150</v>
      </c>
      <c r="I139" s="3"/>
      <c r="J139" s="1"/>
      <c r="K139" s="1"/>
      <c r="L139" s="1"/>
      <c r="M139" s="1"/>
    </row>
    <row r="140" spans="2:13" x14ac:dyDescent="0.25">
      <c r="B140" s="7" t="s">
        <v>163</v>
      </c>
      <c r="C140" s="52" t="s">
        <v>670</v>
      </c>
      <c r="D140" s="52" t="s">
        <v>671</v>
      </c>
      <c r="E140" s="52" t="s">
        <v>672</v>
      </c>
      <c r="F140" s="1"/>
      <c r="G140" s="1">
        <v>3800</v>
      </c>
      <c r="H140" s="1">
        <v>5100</v>
      </c>
      <c r="I140" s="3"/>
      <c r="J140" s="1"/>
      <c r="K140" s="1"/>
      <c r="L140" s="1"/>
      <c r="M140" s="1"/>
    </row>
    <row r="141" spans="2:13" x14ac:dyDescent="0.25">
      <c r="B141" s="7" t="s">
        <v>163</v>
      </c>
      <c r="C141" s="52" t="s">
        <v>678</v>
      </c>
      <c r="D141" s="52" t="s">
        <v>671</v>
      </c>
      <c r="E141" s="52" t="s">
        <v>673</v>
      </c>
      <c r="F141" s="52"/>
      <c r="G141" s="52">
        <v>3800</v>
      </c>
      <c r="H141" s="1">
        <v>5100</v>
      </c>
      <c r="I141" s="8"/>
      <c r="J141" s="52"/>
      <c r="K141" s="52"/>
      <c r="L141" s="52"/>
      <c r="M141" s="52"/>
    </row>
    <row r="142" spans="2:13" x14ac:dyDescent="0.25">
      <c r="B142" s="7" t="s">
        <v>163</v>
      </c>
      <c r="C142" s="52" t="s">
        <v>679</v>
      </c>
      <c r="D142" s="52" t="s">
        <v>671</v>
      </c>
      <c r="E142" s="52" t="s">
        <v>674</v>
      </c>
      <c r="F142" s="52"/>
      <c r="G142" s="52">
        <v>5800</v>
      </c>
      <c r="H142" s="1">
        <v>7100</v>
      </c>
      <c r="I142" s="8"/>
      <c r="J142" s="52"/>
      <c r="K142" s="52"/>
      <c r="L142" s="52"/>
      <c r="M142" s="52"/>
    </row>
    <row r="143" spans="2:13" x14ac:dyDescent="0.25">
      <c r="B143" s="7" t="s">
        <v>163</v>
      </c>
      <c r="C143" s="52" t="s">
        <v>680</v>
      </c>
      <c r="D143" s="52" t="s">
        <v>671</v>
      </c>
      <c r="E143" s="52" t="s">
        <v>675</v>
      </c>
      <c r="F143" s="52"/>
      <c r="G143" s="52">
        <v>5300</v>
      </c>
      <c r="H143" s="1">
        <v>6600</v>
      </c>
      <c r="I143" s="8"/>
      <c r="J143" s="52"/>
      <c r="K143" s="52"/>
      <c r="L143" s="52"/>
      <c r="M143" s="52"/>
    </row>
    <row r="144" spans="2:13" x14ac:dyDescent="0.25">
      <c r="B144" s="7" t="s">
        <v>163</v>
      </c>
      <c r="C144" s="52" t="s">
        <v>681</v>
      </c>
      <c r="D144" s="52" t="s">
        <v>671</v>
      </c>
      <c r="E144" s="52" t="s">
        <v>676</v>
      </c>
      <c r="F144" s="52"/>
      <c r="G144" s="52">
        <v>8300</v>
      </c>
      <c r="H144" s="1">
        <v>9600</v>
      </c>
      <c r="I144" s="8"/>
      <c r="J144" s="52"/>
      <c r="K144" s="52"/>
      <c r="L144" s="52"/>
      <c r="M144" s="52"/>
    </row>
    <row r="145" spans="2:13" x14ac:dyDescent="0.25">
      <c r="B145" s="7" t="s">
        <v>163</v>
      </c>
      <c r="C145" s="52" t="s">
        <v>682</v>
      </c>
      <c r="D145" s="52" t="s">
        <v>671</v>
      </c>
      <c r="E145" s="52" t="s">
        <v>677</v>
      </c>
      <c r="F145" s="52"/>
      <c r="G145" s="52">
        <v>9300</v>
      </c>
      <c r="H145" s="1">
        <v>10600</v>
      </c>
      <c r="I145" s="8"/>
      <c r="J145" s="52"/>
      <c r="K145" s="52"/>
      <c r="L145" s="52"/>
      <c r="M145" s="52"/>
    </row>
    <row r="146" spans="2:13" x14ac:dyDescent="0.25">
      <c r="B146" s="7" t="s">
        <v>163</v>
      </c>
      <c r="C146" s="52" t="s">
        <v>683</v>
      </c>
      <c r="D146" s="52" t="s">
        <v>671</v>
      </c>
      <c r="E146" s="1" t="s">
        <v>40</v>
      </c>
      <c r="F146" s="1"/>
      <c r="G146" s="1">
        <v>800</v>
      </c>
      <c r="H146" s="1">
        <v>1250</v>
      </c>
      <c r="I146" s="3"/>
      <c r="J146" s="1"/>
      <c r="K146" s="1"/>
      <c r="L146" s="1"/>
      <c r="M146" s="1"/>
    </row>
    <row r="147" spans="2:13" x14ac:dyDescent="0.25">
      <c r="B147" s="7" t="s">
        <v>163</v>
      </c>
      <c r="C147" s="52" t="s">
        <v>684</v>
      </c>
      <c r="D147" s="52" t="s">
        <v>671</v>
      </c>
      <c r="E147" s="1" t="s">
        <v>42</v>
      </c>
      <c r="F147" s="1"/>
      <c r="G147" s="1">
        <v>600</v>
      </c>
      <c r="H147" s="1">
        <v>1050</v>
      </c>
      <c r="I147" s="3"/>
      <c r="J147" s="1"/>
      <c r="K147" s="1"/>
      <c r="L147" s="1"/>
      <c r="M147" s="1"/>
    </row>
    <row r="148" spans="2:13" x14ac:dyDescent="0.25">
      <c r="B148" s="7" t="s">
        <v>163</v>
      </c>
      <c r="C148" s="52" t="s">
        <v>685</v>
      </c>
      <c r="D148" s="52" t="s">
        <v>671</v>
      </c>
      <c r="E148" s="52" t="s">
        <v>41</v>
      </c>
      <c r="F148" s="52"/>
      <c r="G148" s="52">
        <v>400</v>
      </c>
      <c r="H148" s="52">
        <v>850</v>
      </c>
      <c r="I148" s="8"/>
      <c r="J148" s="52"/>
      <c r="K148" s="52"/>
      <c r="L148" s="52"/>
      <c r="M148" s="52"/>
    </row>
    <row r="149" spans="2:13" x14ac:dyDescent="0.25">
      <c r="B149" s="7" t="s">
        <v>282</v>
      </c>
      <c r="C149" s="52" t="s">
        <v>740</v>
      </c>
      <c r="D149" s="52" t="s">
        <v>380</v>
      </c>
      <c r="E149" s="52" t="s">
        <v>739</v>
      </c>
      <c r="F149" s="52"/>
      <c r="G149" s="52">
        <v>3400</v>
      </c>
      <c r="H149" s="52">
        <v>4700</v>
      </c>
      <c r="I149" s="8"/>
      <c r="J149" s="52"/>
      <c r="K149" s="52"/>
      <c r="L149" s="52"/>
      <c r="M149" s="52"/>
    </row>
    <row r="150" spans="2:13" x14ac:dyDescent="0.25">
      <c r="B150" s="7" t="s">
        <v>282</v>
      </c>
      <c r="C150" s="52" t="s">
        <v>741</v>
      </c>
      <c r="D150" s="52" t="s">
        <v>380</v>
      </c>
      <c r="E150" s="1" t="s">
        <v>42</v>
      </c>
      <c r="F150" s="1"/>
      <c r="G150" s="1">
        <v>600</v>
      </c>
      <c r="H150" s="1">
        <v>1000</v>
      </c>
      <c r="I150" s="3"/>
      <c r="J150" s="1"/>
      <c r="K150" s="1"/>
      <c r="L150" s="1"/>
      <c r="M150" s="1"/>
    </row>
    <row r="151" spans="2:13" x14ac:dyDescent="0.25">
      <c r="B151" s="7" t="s">
        <v>282</v>
      </c>
      <c r="C151" s="52" t="s">
        <v>742</v>
      </c>
      <c r="D151" s="52" t="s">
        <v>380</v>
      </c>
      <c r="E151" s="52" t="s">
        <v>41</v>
      </c>
      <c r="F151" s="52"/>
      <c r="G151" s="52">
        <v>500</v>
      </c>
      <c r="H151" s="52">
        <v>900</v>
      </c>
      <c r="I151" s="8"/>
      <c r="J151" s="52"/>
      <c r="K151" s="52"/>
      <c r="L151" s="52"/>
      <c r="M151" s="52"/>
    </row>
    <row r="152" spans="2:13" x14ac:dyDescent="0.25">
      <c r="B152" s="7" t="s">
        <v>662</v>
      </c>
      <c r="C152" s="52" t="s">
        <v>751</v>
      </c>
      <c r="D152" s="52" t="s">
        <v>743</v>
      </c>
      <c r="E152" s="52" t="s">
        <v>744</v>
      </c>
      <c r="F152" s="52"/>
      <c r="G152" s="52">
        <v>6000</v>
      </c>
      <c r="H152" s="52">
        <v>7300</v>
      </c>
      <c r="I152" s="8"/>
      <c r="J152" s="52"/>
      <c r="K152" s="52"/>
      <c r="L152" s="52"/>
      <c r="M152" s="52"/>
    </row>
    <row r="153" spans="2:13" x14ac:dyDescent="0.25">
      <c r="B153" s="7" t="s">
        <v>662</v>
      </c>
      <c r="C153" s="52" t="s">
        <v>752</v>
      </c>
      <c r="D153" s="52" t="s">
        <v>743</v>
      </c>
      <c r="E153" s="52" t="s">
        <v>745</v>
      </c>
      <c r="F153" s="52"/>
      <c r="G153" s="52">
        <v>7000</v>
      </c>
      <c r="H153" s="52">
        <v>8300</v>
      </c>
      <c r="I153" s="8"/>
      <c r="J153" s="52"/>
      <c r="K153" s="52"/>
      <c r="L153" s="52"/>
      <c r="M153" s="52"/>
    </row>
    <row r="154" spans="2:13" x14ac:dyDescent="0.25">
      <c r="B154" s="7" t="s">
        <v>662</v>
      </c>
      <c r="C154" s="52" t="s">
        <v>753</v>
      </c>
      <c r="D154" s="52" t="s">
        <v>743</v>
      </c>
      <c r="E154" s="52" t="s">
        <v>746</v>
      </c>
      <c r="F154" s="52"/>
      <c r="G154" s="52">
        <v>8000</v>
      </c>
      <c r="H154" s="52">
        <v>9300</v>
      </c>
      <c r="I154" s="8"/>
      <c r="J154" s="52"/>
      <c r="K154" s="52"/>
      <c r="L154" s="52"/>
      <c r="M154" s="52"/>
    </row>
    <row r="155" spans="2:13" x14ac:dyDescent="0.25">
      <c r="B155" s="7" t="s">
        <v>662</v>
      </c>
      <c r="C155" s="52" t="s">
        <v>754</v>
      </c>
      <c r="D155" s="52" t="s">
        <v>743</v>
      </c>
      <c r="E155" s="52" t="s">
        <v>747</v>
      </c>
      <c r="F155" s="52"/>
      <c r="G155" s="52">
        <v>9000</v>
      </c>
      <c r="H155" s="52">
        <v>10300</v>
      </c>
      <c r="I155" s="8"/>
      <c r="J155" s="52"/>
      <c r="K155" s="52"/>
      <c r="L155" s="52"/>
      <c r="M155" s="52"/>
    </row>
    <row r="156" spans="2:13" x14ac:dyDescent="0.25">
      <c r="B156" s="7" t="s">
        <v>662</v>
      </c>
      <c r="C156" s="52" t="s">
        <v>755</v>
      </c>
      <c r="D156" s="52" t="s">
        <v>743</v>
      </c>
      <c r="E156" s="52" t="s">
        <v>748</v>
      </c>
      <c r="F156" s="52"/>
      <c r="G156" s="52">
        <v>10000</v>
      </c>
      <c r="H156" s="52">
        <v>11300</v>
      </c>
      <c r="I156" s="8"/>
      <c r="J156" s="52"/>
      <c r="K156" s="52"/>
      <c r="L156" s="52"/>
      <c r="M156" s="52"/>
    </row>
    <row r="157" spans="2:13" x14ac:dyDescent="0.25">
      <c r="B157" s="7" t="s">
        <v>662</v>
      </c>
      <c r="C157" s="52" t="s">
        <v>756</v>
      </c>
      <c r="D157" s="52" t="s">
        <v>743</v>
      </c>
      <c r="E157" s="52" t="s">
        <v>749</v>
      </c>
      <c r="F157" s="52"/>
      <c r="G157" s="52">
        <v>11000</v>
      </c>
      <c r="H157" s="52">
        <v>12300</v>
      </c>
      <c r="I157" s="8"/>
      <c r="J157" s="52"/>
      <c r="K157" s="52"/>
      <c r="L157" s="52"/>
      <c r="M157" s="52"/>
    </row>
    <row r="158" spans="2:13" x14ac:dyDescent="0.25">
      <c r="B158" s="7" t="s">
        <v>662</v>
      </c>
      <c r="C158" s="52" t="s">
        <v>757</v>
      </c>
      <c r="D158" s="52" t="s">
        <v>743</v>
      </c>
      <c r="E158" s="52" t="s">
        <v>750</v>
      </c>
      <c r="F158" s="52"/>
      <c r="G158" s="52">
        <v>13000</v>
      </c>
      <c r="H158" s="52">
        <v>14300</v>
      </c>
      <c r="I158" s="8"/>
      <c r="J158" s="52"/>
      <c r="K158" s="52"/>
      <c r="L158" s="52"/>
      <c r="M158" s="52"/>
    </row>
    <row r="159" spans="2:13" x14ac:dyDescent="0.25">
      <c r="B159" s="7" t="s">
        <v>662</v>
      </c>
      <c r="C159" s="52" t="s">
        <v>758</v>
      </c>
      <c r="D159" s="52" t="s">
        <v>743</v>
      </c>
      <c r="E159" s="1" t="s">
        <v>40</v>
      </c>
      <c r="F159" s="1"/>
      <c r="G159" s="1">
        <v>1500</v>
      </c>
      <c r="H159" s="1">
        <v>1950</v>
      </c>
      <c r="I159" s="3"/>
      <c r="J159" s="1"/>
      <c r="K159" s="1"/>
      <c r="L159" s="1"/>
      <c r="M159" s="1"/>
    </row>
    <row r="160" spans="2:13" x14ac:dyDescent="0.25">
      <c r="B160" s="7" t="s">
        <v>662</v>
      </c>
      <c r="C160" s="52" t="s">
        <v>759</v>
      </c>
      <c r="D160" s="52" t="s">
        <v>743</v>
      </c>
      <c r="E160" s="1" t="s">
        <v>42</v>
      </c>
      <c r="F160" s="1"/>
      <c r="G160" s="1">
        <v>1000</v>
      </c>
      <c r="H160" s="1">
        <v>1450</v>
      </c>
      <c r="I160" s="3"/>
      <c r="J160" s="1"/>
      <c r="K160" s="1"/>
      <c r="L160" s="1"/>
      <c r="M160" s="1"/>
    </row>
    <row r="161" spans="2:13" x14ac:dyDescent="0.25">
      <c r="B161" s="7" t="s">
        <v>662</v>
      </c>
      <c r="C161" s="52" t="s">
        <v>760</v>
      </c>
      <c r="D161" s="52" t="s">
        <v>743</v>
      </c>
      <c r="E161" s="52" t="s">
        <v>41</v>
      </c>
      <c r="F161" s="52"/>
      <c r="G161" s="52">
        <v>750</v>
      </c>
      <c r="H161" s="1">
        <v>1200</v>
      </c>
      <c r="I161" s="8"/>
      <c r="J161" s="52"/>
      <c r="K161" s="52"/>
      <c r="L161" s="52"/>
      <c r="M161" s="52"/>
    </row>
    <row r="162" spans="2:13" x14ac:dyDescent="0.25">
      <c r="B162" s="7" t="s">
        <v>162</v>
      </c>
      <c r="C162" s="52" t="s">
        <v>794</v>
      </c>
      <c r="D162" s="52" t="s">
        <v>789</v>
      </c>
      <c r="E162" s="1" t="s">
        <v>790</v>
      </c>
      <c r="F162" s="1"/>
      <c r="G162" s="1">
        <v>1500</v>
      </c>
      <c r="H162" s="1">
        <v>2900</v>
      </c>
      <c r="I162" s="3"/>
      <c r="J162" s="1"/>
      <c r="K162" s="1"/>
      <c r="L162" s="1"/>
      <c r="M162" s="1"/>
    </row>
    <row r="163" spans="2:13" x14ac:dyDescent="0.25">
      <c r="B163" s="7" t="s">
        <v>162</v>
      </c>
      <c r="C163" s="52" t="s">
        <v>795</v>
      </c>
      <c r="D163" s="52" t="s">
        <v>789</v>
      </c>
      <c r="E163" s="52" t="s">
        <v>791</v>
      </c>
      <c r="F163" s="52"/>
      <c r="G163" s="52">
        <v>2350</v>
      </c>
      <c r="H163" s="1">
        <v>3750</v>
      </c>
      <c r="I163" s="8"/>
      <c r="J163" s="52"/>
      <c r="K163" s="52"/>
      <c r="L163" s="52"/>
      <c r="M163" s="52"/>
    </row>
    <row r="164" spans="2:13" x14ac:dyDescent="0.25">
      <c r="B164" s="7" t="s">
        <v>162</v>
      </c>
      <c r="C164" s="52" t="s">
        <v>796</v>
      </c>
      <c r="D164" s="52" t="s">
        <v>789</v>
      </c>
      <c r="E164" s="52" t="s">
        <v>792</v>
      </c>
      <c r="F164" s="52"/>
      <c r="G164" s="52">
        <v>2350</v>
      </c>
      <c r="H164" s="1">
        <v>3750</v>
      </c>
      <c r="I164" s="8"/>
      <c r="J164" s="52"/>
      <c r="K164" s="52"/>
      <c r="L164" s="52"/>
      <c r="M164" s="52"/>
    </row>
    <row r="165" spans="2:13" x14ac:dyDescent="0.25">
      <c r="B165" s="7" t="s">
        <v>162</v>
      </c>
      <c r="C165" s="52" t="s">
        <v>797</v>
      </c>
      <c r="D165" s="52" t="s">
        <v>789</v>
      </c>
      <c r="E165" s="52" t="s">
        <v>793</v>
      </c>
      <c r="F165" s="52"/>
      <c r="G165" s="52">
        <v>3000</v>
      </c>
      <c r="H165" s="1">
        <v>4400</v>
      </c>
      <c r="I165" s="8"/>
      <c r="J165" s="52"/>
      <c r="K165" s="52"/>
      <c r="L165" s="52"/>
      <c r="M165" s="52"/>
    </row>
    <row r="166" spans="2:13" x14ac:dyDescent="0.25">
      <c r="B166" s="7" t="s">
        <v>162</v>
      </c>
      <c r="C166" s="52" t="s">
        <v>798</v>
      </c>
      <c r="D166" s="52" t="s">
        <v>789</v>
      </c>
      <c r="E166" s="52" t="s">
        <v>170</v>
      </c>
      <c r="F166" s="52"/>
      <c r="G166" s="52">
        <v>4600</v>
      </c>
      <c r="H166" s="1">
        <v>6000</v>
      </c>
      <c r="I166" s="8"/>
      <c r="J166" s="52"/>
      <c r="K166" s="52"/>
      <c r="L166" s="52"/>
      <c r="M166" s="52"/>
    </row>
    <row r="167" spans="2:13" x14ac:dyDescent="0.25">
      <c r="B167" s="7" t="s">
        <v>162</v>
      </c>
      <c r="C167" s="52" t="s">
        <v>799</v>
      </c>
      <c r="D167" s="52" t="s">
        <v>789</v>
      </c>
      <c r="E167" s="52" t="s">
        <v>40</v>
      </c>
      <c r="F167" s="52"/>
      <c r="G167" s="52">
        <v>650</v>
      </c>
      <c r="H167" s="1">
        <v>2050</v>
      </c>
      <c r="I167" s="8"/>
      <c r="J167" s="52"/>
      <c r="K167" s="52"/>
      <c r="L167" s="52"/>
      <c r="M167" s="52"/>
    </row>
    <row r="168" spans="2:13" x14ac:dyDescent="0.25">
      <c r="B168" s="7" t="s">
        <v>162</v>
      </c>
      <c r="C168" s="52" t="s">
        <v>800</v>
      </c>
      <c r="D168" s="52" t="s">
        <v>806</v>
      </c>
      <c r="E168" s="52" t="s">
        <v>804</v>
      </c>
      <c r="F168" s="52"/>
      <c r="G168" s="52">
        <v>7000</v>
      </c>
      <c r="H168" s="52">
        <v>8400</v>
      </c>
      <c r="I168" s="8"/>
      <c r="J168" s="52"/>
      <c r="K168" s="52"/>
      <c r="L168" s="52"/>
      <c r="M168" s="52"/>
    </row>
    <row r="169" spans="2:13" x14ac:dyDescent="0.25">
      <c r="B169" s="7" t="s">
        <v>162</v>
      </c>
      <c r="C169" s="52" t="s">
        <v>801</v>
      </c>
      <c r="D169" s="52" t="s">
        <v>806</v>
      </c>
      <c r="E169" s="1" t="s">
        <v>805</v>
      </c>
      <c r="F169" s="1"/>
      <c r="G169" s="1">
        <v>8000</v>
      </c>
      <c r="H169" s="52">
        <v>9400</v>
      </c>
      <c r="I169" s="3"/>
      <c r="J169" s="1"/>
      <c r="K169" s="1"/>
      <c r="L169" s="1"/>
      <c r="M169" s="1"/>
    </row>
    <row r="170" spans="2:13" x14ac:dyDescent="0.25">
      <c r="B170" s="7" t="s">
        <v>162</v>
      </c>
      <c r="C170" s="52" t="s">
        <v>802</v>
      </c>
      <c r="D170" s="52" t="s">
        <v>807</v>
      </c>
      <c r="E170" s="52" t="s">
        <v>804</v>
      </c>
      <c r="F170" s="1"/>
      <c r="G170" s="1">
        <v>9500</v>
      </c>
      <c r="H170" s="52">
        <v>10900</v>
      </c>
      <c r="I170" s="3"/>
      <c r="J170" s="1"/>
      <c r="K170" s="1"/>
      <c r="L170" s="1"/>
      <c r="M170" s="1"/>
    </row>
    <row r="171" spans="2:13" x14ac:dyDescent="0.25">
      <c r="B171" s="7" t="s">
        <v>162</v>
      </c>
      <c r="C171" s="52" t="s">
        <v>803</v>
      </c>
      <c r="D171" s="52" t="s">
        <v>807</v>
      </c>
      <c r="E171" s="1" t="s">
        <v>805</v>
      </c>
      <c r="F171" s="1"/>
      <c r="G171" s="1">
        <v>11000</v>
      </c>
      <c r="H171" s="52">
        <v>12400</v>
      </c>
      <c r="I171" s="3"/>
      <c r="J171" s="1"/>
      <c r="K171" s="1"/>
      <c r="L171" s="1"/>
      <c r="M171" s="1"/>
    </row>
    <row r="172" spans="2:13" x14ac:dyDescent="0.25">
      <c r="B172" s="7" t="s">
        <v>163</v>
      </c>
      <c r="C172" s="52" t="s">
        <v>828</v>
      </c>
      <c r="D172" s="52" t="s">
        <v>829</v>
      </c>
      <c r="E172" s="52" t="s">
        <v>830</v>
      </c>
      <c r="F172" s="52"/>
      <c r="G172" s="52">
        <v>3000</v>
      </c>
      <c r="H172" s="52">
        <v>4000</v>
      </c>
      <c r="I172" s="8"/>
      <c r="J172" s="52"/>
      <c r="K172" s="52"/>
      <c r="L172" s="52"/>
      <c r="M172" s="52"/>
    </row>
    <row r="173" spans="2:13" x14ac:dyDescent="0.25">
      <c r="B173" s="7" t="s">
        <v>163</v>
      </c>
      <c r="C173" s="52" t="s">
        <v>832</v>
      </c>
      <c r="D173" s="52" t="s">
        <v>829</v>
      </c>
      <c r="E173" s="52" t="s">
        <v>831</v>
      </c>
      <c r="F173" s="52"/>
      <c r="G173" s="52">
        <v>2800</v>
      </c>
      <c r="H173" s="52">
        <v>3800</v>
      </c>
      <c r="I173" s="8"/>
      <c r="J173" s="52"/>
      <c r="K173" s="52"/>
      <c r="L173" s="52"/>
      <c r="M173" s="52"/>
    </row>
    <row r="174" spans="2:13" x14ac:dyDescent="0.25">
      <c r="B174" s="7" t="s">
        <v>163</v>
      </c>
      <c r="C174" s="52" t="s">
        <v>833</v>
      </c>
      <c r="D174" s="52" t="s">
        <v>829</v>
      </c>
      <c r="E174" s="1" t="s">
        <v>40</v>
      </c>
      <c r="F174" s="1"/>
      <c r="G174" s="1">
        <v>1000</v>
      </c>
      <c r="H174" s="1">
        <v>1500</v>
      </c>
      <c r="I174" s="3"/>
      <c r="J174" s="1"/>
      <c r="K174" s="1"/>
      <c r="L174" s="1"/>
      <c r="M174" s="1"/>
    </row>
    <row r="175" spans="2:13" x14ac:dyDescent="0.25">
      <c r="B175" s="7" t="s">
        <v>163</v>
      </c>
      <c r="C175" s="52" t="s">
        <v>834</v>
      </c>
      <c r="D175" s="52" t="s">
        <v>829</v>
      </c>
      <c r="E175" s="1" t="s">
        <v>42</v>
      </c>
      <c r="F175" s="1"/>
      <c r="G175" s="1">
        <v>750</v>
      </c>
      <c r="H175" s="1">
        <v>1150</v>
      </c>
      <c r="I175" s="3"/>
      <c r="J175" s="1"/>
      <c r="K175" s="1"/>
      <c r="L175" s="1"/>
      <c r="M175" s="1"/>
    </row>
    <row r="176" spans="2:13" x14ac:dyDescent="0.25">
      <c r="B176" s="7" t="s">
        <v>163</v>
      </c>
      <c r="C176" s="52" t="s">
        <v>835</v>
      </c>
      <c r="D176" s="52" t="s">
        <v>829</v>
      </c>
      <c r="E176" s="52" t="s">
        <v>41</v>
      </c>
      <c r="F176" s="52"/>
      <c r="G176" s="52">
        <v>400</v>
      </c>
      <c r="H176" s="52">
        <v>800</v>
      </c>
      <c r="I176" s="8"/>
      <c r="J176" s="52"/>
      <c r="K176" s="52"/>
      <c r="L176" s="52"/>
      <c r="M176" s="52"/>
    </row>
    <row r="177" spans="2:13" x14ac:dyDescent="0.25">
      <c r="B177" s="7" t="s">
        <v>163</v>
      </c>
      <c r="C177" s="52" t="s">
        <v>853</v>
      </c>
      <c r="D177" s="52" t="s">
        <v>846</v>
      </c>
      <c r="E177" s="52" t="s">
        <v>847</v>
      </c>
      <c r="F177" s="52"/>
      <c r="G177" s="52">
        <v>5500</v>
      </c>
      <c r="H177" s="52">
        <v>7000</v>
      </c>
      <c r="I177" s="8"/>
      <c r="J177" s="52"/>
      <c r="K177" s="52"/>
      <c r="L177" s="52"/>
      <c r="M177" s="52"/>
    </row>
    <row r="178" spans="2:13" x14ac:dyDescent="0.25">
      <c r="B178" s="7" t="s">
        <v>163</v>
      </c>
      <c r="C178" s="52" t="s">
        <v>854</v>
      </c>
      <c r="D178" s="52" t="s">
        <v>846</v>
      </c>
      <c r="E178" s="1" t="s">
        <v>848</v>
      </c>
      <c r="F178" s="1"/>
      <c r="G178" s="52">
        <v>5500</v>
      </c>
      <c r="H178" s="52">
        <v>7000</v>
      </c>
      <c r="I178" s="3"/>
      <c r="J178" s="1"/>
      <c r="K178" s="1"/>
      <c r="L178" s="1"/>
      <c r="M178" s="1"/>
    </row>
    <row r="179" spans="2:13" x14ac:dyDescent="0.25">
      <c r="B179" s="7" t="s">
        <v>163</v>
      </c>
      <c r="C179" s="52" t="s">
        <v>855</v>
      </c>
      <c r="D179" s="52" t="s">
        <v>846</v>
      </c>
      <c r="E179" s="52" t="s">
        <v>849</v>
      </c>
      <c r="F179" s="52"/>
      <c r="G179" s="52">
        <v>6500</v>
      </c>
      <c r="H179" s="52">
        <v>8000</v>
      </c>
      <c r="I179" s="8"/>
      <c r="J179" s="52"/>
      <c r="K179" s="52"/>
      <c r="L179" s="52"/>
      <c r="M179" s="52"/>
    </row>
    <row r="180" spans="2:13" x14ac:dyDescent="0.25">
      <c r="B180" s="7" t="s">
        <v>163</v>
      </c>
      <c r="C180" s="52" t="s">
        <v>856</v>
      </c>
      <c r="D180" s="52" t="s">
        <v>846</v>
      </c>
      <c r="E180" s="52" t="s">
        <v>850</v>
      </c>
      <c r="F180" s="52"/>
      <c r="G180" s="52">
        <v>7500</v>
      </c>
      <c r="H180" s="52">
        <v>9000</v>
      </c>
      <c r="I180" s="8"/>
      <c r="J180" s="52"/>
      <c r="K180" s="52"/>
      <c r="L180" s="52"/>
      <c r="M180" s="52"/>
    </row>
    <row r="181" spans="2:13" x14ac:dyDescent="0.25">
      <c r="B181" s="7" t="s">
        <v>163</v>
      </c>
      <c r="C181" s="52" t="s">
        <v>857</v>
      </c>
      <c r="D181" s="52" t="s">
        <v>846</v>
      </c>
      <c r="E181" s="52" t="s">
        <v>851</v>
      </c>
      <c r="F181" s="52"/>
      <c r="G181" s="52">
        <v>12500</v>
      </c>
      <c r="H181" s="52">
        <v>15500</v>
      </c>
      <c r="I181" s="8"/>
      <c r="J181" s="52"/>
      <c r="K181" s="52"/>
      <c r="L181" s="52"/>
      <c r="M181" s="52"/>
    </row>
    <row r="182" spans="2:13" x14ac:dyDescent="0.25">
      <c r="B182" s="7" t="s">
        <v>163</v>
      </c>
      <c r="C182" s="52" t="s">
        <v>858</v>
      </c>
      <c r="D182" s="52" t="s">
        <v>846</v>
      </c>
      <c r="E182" s="52" t="s">
        <v>852</v>
      </c>
      <c r="F182" s="52"/>
      <c r="G182" s="52">
        <v>12500</v>
      </c>
      <c r="H182" s="52">
        <v>14000</v>
      </c>
      <c r="I182" s="8"/>
      <c r="J182" s="52"/>
      <c r="K182" s="52"/>
      <c r="L182" s="52"/>
      <c r="M182" s="52"/>
    </row>
    <row r="183" spans="2:13" x14ac:dyDescent="0.25">
      <c r="B183" s="7" t="s">
        <v>163</v>
      </c>
      <c r="C183" s="52" t="s">
        <v>859</v>
      </c>
      <c r="D183" s="52" t="s">
        <v>846</v>
      </c>
      <c r="E183" s="1" t="s">
        <v>40</v>
      </c>
      <c r="F183" s="1"/>
      <c r="G183" s="1">
        <v>1500</v>
      </c>
      <c r="H183" s="1">
        <v>2250</v>
      </c>
      <c r="I183" s="3"/>
      <c r="J183" s="1"/>
      <c r="K183" s="1"/>
      <c r="L183" s="1"/>
      <c r="M183" s="1"/>
    </row>
    <row r="184" spans="2:13" x14ac:dyDescent="0.25">
      <c r="B184" s="7" t="s">
        <v>163</v>
      </c>
      <c r="C184" s="52" t="s">
        <v>860</v>
      </c>
      <c r="D184" s="52" t="s">
        <v>846</v>
      </c>
      <c r="E184" s="1" t="s">
        <v>42</v>
      </c>
      <c r="F184" s="1"/>
      <c r="G184" s="1">
        <v>1000</v>
      </c>
      <c r="H184" s="1">
        <v>1750</v>
      </c>
      <c r="I184" s="3"/>
      <c r="J184" s="1"/>
      <c r="K184" s="1"/>
      <c r="L184" s="1"/>
      <c r="M184" s="1"/>
    </row>
    <row r="185" spans="2:13" x14ac:dyDescent="0.25">
      <c r="B185" s="7" t="s">
        <v>163</v>
      </c>
      <c r="C185" s="52" t="s">
        <v>861</v>
      </c>
      <c r="D185" s="52" t="s">
        <v>846</v>
      </c>
      <c r="E185" s="52" t="s">
        <v>41</v>
      </c>
      <c r="F185" s="52"/>
      <c r="G185" s="52">
        <v>500</v>
      </c>
      <c r="H185" s="52">
        <v>1250</v>
      </c>
      <c r="I185" s="8"/>
      <c r="J185" s="52"/>
      <c r="K185" s="52"/>
      <c r="L185" s="52"/>
      <c r="M185" s="52"/>
    </row>
    <row r="186" spans="2:13" x14ac:dyDescent="0.25">
      <c r="B186" s="7" t="s">
        <v>162</v>
      </c>
      <c r="C186" s="52" t="s">
        <v>865</v>
      </c>
      <c r="D186" s="52" t="s">
        <v>862</v>
      </c>
      <c r="E186" s="52" t="s">
        <v>863</v>
      </c>
      <c r="F186" s="52"/>
      <c r="G186" s="52">
        <v>10500</v>
      </c>
      <c r="H186" s="52">
        <v>12500</v>
      </c>
      <c r="I186" s="8"/>
      <c r="J186" s="52"/>
      <c r="K186" s="52"/>
      <c r="L186" s="52"/>
      <c r="M186" s="52"/>
    </row>
    <row r="187" spans="2:13" x14ac:dyDescent="0.25">
      <c r="B187" s="7" t="s">
        <v>162</v>
      </c>
      <c r="C187" s="52" t="s">
        <v>866</v>
      </c>
      <c r="D187" s="52" t="s">
        <v>862</v>
      </c>
      <c r="E187" s="52" t="s">
        <v>864</v>
      </c>
      <c r="F187" s="52"/>
      <c r="G187" s="52">
        <v>15500</v>
      </c>
      <c r="H187" s="52">
        <v>17500</v>
      </c>
      <c r="I187" s="8"/>
      <c r="J187" s="52"/>
      <c r="K187" s="52"/>
      <c r="L187" s="52"/>
      <c r="M187" s="52"/>
    </row>
    <row r="188" spans="2:13" x14ac:dyDescent="0.25">
      <c r="B188" s="7" t="s">
        <v>162</v>
      </c>
      <c r="C188" s="52" t="s">
        <v>867</v>
      </c>
      <c r="D188" s="52" t="s">
        <v>862</v>
      </c>
      <c r="E188" s="1" t="s">
        <v>40</v>
      </c>
      <c r="F188" s="1"/>
      <c r="G188" s="1">
        <v>2000</v>
      </c>
      <c r="H188" s="1">
        <v>3000</v>
      </c>
      <c r="I188" s="3"/>
      <c r="J188" s="1"/>
      <c r="K188" s="1"/>
      <c r="L188" s="1"/>
      <c r="M188" s="1"/>
    </row>
    <row r="189" spans="2:13" x14ac:dyDescent="0.25">
      <c r="B189" s="7" t="s">
        <v>162</v>
      </c>
      <c r="C189" s="52" t="s">
        <v>868</v>
      </c>
      <c r="D189" s="52" t="s">
        <v>862</v>
      </c>
      <c r="E189" s="1" t="s">
        <v>42</v>
      </c>
      <c r="F189" s="1"/>
      <c r="G189" s="1">
        <v>1500</v>
      </c>
      <c r="H189" s="1">
        <v>2000</v>
      </c>
      <c r="I189" s="3"/>
      <c r="J189" s="1"/>
      <c r="K189" s="1"/>
      <c r="L189" s="1"/>
      <c r="M189" s="1"/>
    </row>
    <row r="190" spans="2:13" x14ac:dyDescent="0.25">
      <c r="B190" s="7" t="s">
        <v>162</v>
      </c>
      <c r="C190" s="52" t="s">
        <v>869</v>
      </c>
      <c r="D190" s="52" t="s">
        <v>862</v>
      </c>
      <c r="E190" s="52" t="s">
        <v>41</v>
      </c>
      <c r="F190" s="52"/>
      <c r="G190" s="52">
        <v>1000</v>
      </c>
      <c r="H190" s="52">
        <v>1500</v>
      </c>
      <c r="I190" s="8"/>
      <c r="J190" s="52"/>
      <c r="K190" s="52"/>
      <c r="L190" s="52"/>
      <c r="M190" s="52"/>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9635-44C0-413F-AE4A-B5C9565F3D69}">
  <sheetPr codeName="Sheet3"/>
  <dimension ref="A1:K435"/>
  <sheetViews>
    <sheetView showGridLines="0" topLeftCell="B2" workbookViewId="0">
      <selection activeCell="D2" sqref="D2:E435"/>
    </sheetView>
  </sheetViews>
  <sheetFormatPr defaultRowHeight="15" x14ac:dyDescent="0.25"/>
  <cols>
    <col min="1" max="1" width="81.140625" bestFit="1" customWidth="1"/>
    <col min="2" max="2" width="8.28515625" bestFit="1" customWidth="1"/>
    <col min="3" max="3" width="44.5703125" bestFit="1" customWidth="1"/>
    <col min="4" max="4" width="81.140625" bestFit="1" customWidth="1"/>
    <col min="5" max="5" width="6" style="40" bestFit="1" customWidth="1"/>
    <col min="6" max="6" width="17.7109375" customWidth="1"/>
    <col min="7" max="7" width="20.5703125" bestFit="1" customWidth="1"/>
    <col min="8" max="8" width="17.7109375" bestFit="1" customWidth="1"/>
    <col min="9" max="9" width="11.7109375" bestFit="1" customWidth="1"/>
    <col min="10" max="10" width="20.28515625" bestFit="1" customWidth="1"/>
    <col min="11" max="11" width="11.7109375" bestFit="1" customWidth="1"/>
    <col min="12" max="12" width="10.42578125" bestFit="1" customWidth="1"/>
    <col min="13" max="13" width="10.7109375" bestFit="1" customWidth="1"/>
    <col min="14" max="14" width="12" bestFit="1" customWidth="1"/>
    <col min="15" max="15" width="10.5703125" bestFit="1" customWidth="1"/>
  </cols>
  <sheetData>
    <row r="1" spans="1:11" x14ac:dyDescent="0.25">
      <c r="A1" t="s">
        <v>43</v>
      </c>
      <c r="B1" t="s">
        <v>44</v>
      </c>
      <c r="D1" t="s">
        <v>43</v>
      </c>
      <c r="E1" s="40" t="s">
        <v>44</v>
      </c>
      <c r="G1" s="20" t="s">
        <v>45</v>
      </c>
      <c r="J1" s="22" t="s">
        <v>106</v>
      </c>
      <c r="K1" s="23" t="s">
        <v>107</v>
      </c>
    </row>
    <row r="2" spans="1:11" x14ac:dyDescent="0.25">
      <c r="A2" t="s">
        <v>581</v>
      </c>
      <c r="B2" s="40">
        <v>3900</v>
      </c>
      <c r="D2" t="s">
        <v>581</v>
      </c>
      <c r="E2" s="40">
        <v>3900</v>
      </c>
      <c r="G2" s="21" t="s">
        <v>40</v>
      </c>
      <c r="J2" s="2" t="s">
        <v>95</v>
      </c>
      <c r="K2" s="3">
        <v>3200</v>
      </c>
    </row>
    <row r="3" spans="1:11" x14ac:dyDescent="0.25">
      <c r="A3" t="s">
        <v>582</v>
      </c>
      <c r="B3" s="40">
        <v>5100</v>
      </c>
      <c r="D3" t="s">
        <v>582</v>
      </c>
      <c r="E3" s="40">
        <v>5100</v>
      </c>
      <c r="G3" s="21" t="s">
        <v>42</v>
      </c>
      <c r="J3" s="2" t="s">
        <v>105</v>
      </c>
      <c r="K3" s="3">
        <v>4500</v>
      </c>
    </row>
    <row r="4" spans="1:11" x14ac:dyDescent="0.25">
      <c r="A4" t="s">
        <v>184</v>
      </c>
      <c r="B4" s="40">
        <v>7200</v>
      </c>
      <c r="D4" t="s">
        <v>184</v>
      </c>
      <c r="E4" s="40">
        <v>7200</v>
      </c>
      <c r="G4" s="21" t="s">
        <v>41</v>
      </c>
      <c r="J4" s="2" t="s">
        <v>96</v>
      </c>
      <c r="K4" s="3">
        <v>6000</v>
      </c>
    </row>
    <row r="5" spans="1:11" x14ac:dyDescent="0.25">
      <c r="A5" t="s">
        <v>185</v>
      </c>
      <c r="B5" s="40">
        <v>9100</v>
      </c>
      <c r="D5" t="s">
        <v>185</v>
      </c>
      <c r="E5" s="40">
        <v>9100</v>
      </c>
      <c r="G5" s="21" t="s">
        <v>46</v>
      </c>
      <c r="J5" s="2" t="s">
        <v>97</v>
      </c>
      <c r="K5" s="3">
        <v>3150</v>
      </c>
    </row>
    <row r="6" spans="1:11" x14ac:dyDescent="0.25">
      <c r="A6" t="s">
        <v>186</v>
      </c>
      <c r="B6" s="40">
        <v>13500</v>
      </c>
      <c r="D6" t="s">
        <v>186</v>
      </c>
      <c r="E6" s="40">
        <v>13500</v>
      </c>
      <c r="J6" s="7" t="s">
        <v>98</v>
      </c>
      <c r="K6" s="8">
        <v>3800</v>
      </c>
    </row>
    <row r="7" spans="1:11" x14ac:dyDescent="0.25">
      <c r="A7" t="s">
        <v>187</v>
      </c>
      <c r="B7" s="40">
        <v>9500</v>
      </c>
      <c r="D7" t="s">
        <v>187</v>
      </c>
      <c r="E7" s="40">
        <v>9500</v>
      </c>
      <c r="J7" s="7" t="s">
        <v>90</v>
      </c>
      <c r="K7" s="8">
        <v>4200</v>
      </c>
    </row>
    <row r="8" spans="1:11" x14ac:dyDescent="0.25">
      <c r="A8" t="s">
        <v>188</v>
      </c>
      <c r="B8" s="40">
        <v>11400</v>
      </c>
      <c r="D8" t="s">
        <v>188</v>
      </c>
      <c r="E8" s="40">
        <v>11400</v>
      </c>
      <c r="J8" s="7" t="s">
        <v>91</v>
      </c>
      <c r="K8" s="8">
        <v>4700</v>
      </c>
    </row>
    <row r="9" spans="1:11" x14ac:dyDescent="0.25">
      <c r="A9" t="s">
        <v>189</v>
      </c>
      <c r="B9" s="40">
        <v>15800</v>
      </c>
      <c r="D9" t="s">
        <v>189</v>
      </c>
      <c r="E9" s="40">
        <v>15800</v>
      </c>
      <c r="J9" s="2" t="s">
        <v>92</v>
      </c>
      <c r="K9" s="3">
        <v>5200</v>
      </c>
    </row>
    <row r="10" spans="1:11" x14ac:dyDescent="0.25">
      <c r="A10" t="s">
        <v>190</v>
      </c>
      <c r="B10" s="40">
        <v>12000</v>
      </c>
      <c r="D10" t="s">
        <v>190</v>
      </c>
      <c r="E10" s="40">
        <v>12000</v>
      </c>
      <c r="J10" s="2" t="s">
        <v>93</v>
      </c>
      <c r="K10" s="3">
        <v>6200</v>
      </c>
    </row>
    <row r="11" spans="1:11" x14ac:dyDescent="0.25">
      <c r="A11" t="s">
        <v>191</v>
      </c>
      <c r="B11" s="40">
        <v>13900</v>
      </c>
      <c r="D11" t="s">
        <v>191</v>
      </c>
      <c r="E11" s="40">
        <v>13900</v>
      </c>
      <c r="J11" s="2" t="s">
        <v>94</v>
      </c>
      <c r="K11" s="3">
        <v>7200</v>
      </c>
    </row>
    <row r="12" spans="1:11" x14ac:dyDescent="0.25">
      <c r="A12" t="s">
        <v>192</v>
      </c>
      <c r="B12" s="40">
        <v>18300</v>
      </c>
      <c r="D12" t="s">
        <v>192</v>
      </c>
      <c r="E12" s="40">
        <v>18300</v>
      </c>
      <c r="J12" s="7" t="s">
        <v>46</v>
      </c>
      <c r="K12" s="8">
        <v>0</v>
      </c>
    </row>
    <row r="13" spans="1:11" x14ac:dyDescent="0.25">
      <c r="A13" t="s">
        <v>193</v>
      </c>
      <c r="B13" s="40">
        <v>14500</v>
      </c>
      <c r="D13" t="s">
        <v>193</v>
      </c>
      <c r="E13" s="40">
        <v>14500</v>
      </c>
    </row>
    <row r="14" spans="1:11" x14ac:dyDescent="0.25">
      <c r="A14" t="s">
        <v>194</v>
      </c>
      <c r="B14" s="40">
        <v>16400</v>
      </c>
      <c r="D14" t="s">
        <v>194</v>
      </c>
      <c r="E14" s="40">
        <v>16400</v>
      </c>
    </row>
    <row r="15" spans="1:11" x14ac:dyDescent="0.25">
      <c r="A15" t="s">
        <v>195</v>
      </c>
      <c r="B15" s="40">
        <v>20800</v>
      </c>
      <c r="D15" t="s">
        <v>195</v>
      </c>
      <c r="E15" s="40">
        <v>20800</v>
      </c>
    </row>
    <row r="16" spans="1:11" x14ac:dyDescent="0.25">
      <c r="A16" t="s">
        <v>196</v>
      </c>
      <c r="B16" s="40">
        <v>2000</v>
      </c>
      <c r="D16" t="s">
        <v>196</v>
      </c>
      <c r="E16" s="40">
        <v>2000</v>
      </c>
    </row>
    <row r="17" spans="1:5" x14ac:dyDescent="0.25">
      <c r="A17" t="s">
        <v>197</v>
      </c>
      <c r="B17" s="40">
        <v>2950</v>
      </c>
      <c r="D17" t="s">
        <v>197</v>
      </c>
      <c r="E17" s="40">
        <v>2950</v>
      </c>
    </row>
    <row r="18" spans="1:5" x14ac:dyDescent="0.25">
      <c r="A18" t="s">
        <v>198</v>
      </c>
      <c r="B18" s="40">
        <v>3950</v>
      </c>
      <c r="D18" t="s">
        <v>198</v>
      </c>
      <c r="E18" s="40">
        <v>3950</v>
      </c>
    </row>
    <row r="19" spans="1:5" x14ac:dyDescent="0.25">
      <c r="A19" t="s">
        <v>199</v>
      </c>
      <c r="B19" s="40">
        <v>1250</v>
      </c>
      <c r="D19" t="s">
        <v>199</v>
      </c>
      <c r="E19" s="40">
        <v>1250</v>
      </c>
    </row>
    <row r="20" spans="1:5" x14ac:dyDescent="0.25">
      <c r="A20" t="s">
        <v>200</v>
      </c>
      <c r="B20" s="40">
        <v>1700</v>
      </c>
      <c r="D20" t="s">
        <v>200</v>
      </c>
      <c r="E20" s="40">
        <v>1700</v>
      </c>
    </row>
    <row r="21" spans="1:5" x14ac:dyDescent="0.25">
      <c r="A21" t="s">
        <v>201</v>
      </c>
      <c r="B21" s="40">
        <v>2150</v>
      </c>
      <c r="D21" t="s">
        <v>201</v>
      </c>
      <c r="E21" s="40">
        <v>2150</v>
      </c>
    </row>
    <row r="22" spans="1:5" x14ac:dyDescent="0.25">
      <c r="A22" t="s">
        <v>202</v>
      </c>
      <c r="B22" s="40">
        <v>700</v>
      </c>
      <c r="D22" t="s">
        <v>202</v>
      </c>
      <c r="E22" s="40">
        <v>700</v>
      </c>
    </row>
    <row r="23" spans="1:5" x14ac:dyDescent="0.25">
      <c r="A23" t="s">
        <v>203</v>
      </c>
      <c r="B23" s="40">
        <v>1150</v>
      </c>
      <c r="D23" t="s">
        <v>203</v>
      </c>
      <c r="E23" s="40">
        <v>1150</v>
      </c>
    </row>
    <row r="24" spans="1:5" x14ac:dyDescent="0.25">
      <c r="A24" t="s">
        <v>204</v>
      </c>
      <c r="B24" s="40">
        <v>1600</v>
      </c>
      <c r="D24" t="s">
        <v>204</v>
      </c>
      <c r="E24" s="40">
        <v>1600</v>
      </c>
    </row>
    <row r="25" spans="1:5" x14ac:dyDescent="0.25">
      <c r="A25" t="s">
        <v>205</v>
      </c>
      <c r="B25" s="40">
        <v>4300</v>
      </c>
      <c r="D25" t="s">
        <v>205</v>
      </c>
      <c r="E25" s="40">
        <v>4300</v>
      </c>
    </row>
    <row r="26" spans="1:5" x14ac:dyDescent="0.25">
      <c r="A26" t="s">
        <v>206</v>
      </c>
      <c r="B26" s="40">
        <v>5700</v>
      </c>
      <c r="D26" t="s">
        <v>206</v>
      </c>
      <c r="E26" s="40">
        <v>5700</v>
      </c>
    </row>
    <row r="27" spans="1:5" x14ac:dyDescent="0.25">
      <c r="A27" t="s">
        <v>207</v>
      </c>
      <c r="B27" s="40">
        <v>7100</v>
      </c>
      <c r="D27" t="s">
        <v>207</v>
      </c>
      <c r="E27" s="40">
        <v>7100</v>
      </c>
    </row>
    <row r="28" spans="1:5" x14ac:dyDescent="0.25">
      <c r="A28" t="s">
        <v>208</v>
      </c>
      <c r="B28" s="40">
        <v>5300</v>
      </c>
      <c r="D28" t="s">
        <v>208</v>
      </c>
      <c r="E28" s="40">
        <v>5300</v>
      </c>
    </row>
    <row r="29" spans="1:5" x14ac:dyDescent="0.25">
      <c r="A29" t="s">
        <v>209</v>
      </c>
      <c r="B29" s="40">
        <v>6700</v>
      </c>
      <c r="D29" t="s">
        <v>209</v>
      </c>
      <c r="E29" s="40">
        <v>6700</v>
      </c>
    </row>
    <row r="30" spans="1:5" x14ac:dyDescent="0.25">
      <c r="A30" t="s">
        <v>210</v>
      </c>
      <c r="B30" s="40">
        <v>8100</v>
      </c>
      <c r="D30" t="s">
        <v>210</v>
      </c>
      <c r="E30" s="40">
        <v>8100</v>
      </c>
    </row>
    <row r="31" spans="1:5" x14ac:dyDescent="0.25">
      <c r="A31" t="s">
        <v>211</v>
      </c>
      <c r="B31" s="40">
        <v>1500</v>
      </c>
      <c r="D31" t="s">
        <v>211</v>
      </c>
      <c r="E31" s="40">
        <v>1500</v>
      </c>
    </row>
    <row r="32" spans="1:5" x14ac:dyDescent="0.25">
      <c r="A32" t="s">
        <v>212</v>
      </c>
      <c r="B32" s="40">
        <v>2200</v>
      </c>
      <c r="D32" t="s">
        <v>212</v>
      </c>
      <c r="E32" s="40">
        <v>2200</v>
      </c>
    </row>
    <row r="33" spans="1:5" x14ac:dyDescent="0.25">
      <c r="A33" t="s">
        <v>213</v>
      </c>
      <c r="B33" s="40">
        <v>2900</v>
      </c>
      <c r="D33" t="s">
        <v>213</v>
      </c>
      <c r="E33" s="40">
        <v>2900</v>
      </c>
    </row>
    <row r="34" spans="1:5" x14ac:dyDescent="0.25">
      <c r="A34" t="s">
        <v>214</v>
      </c>
      <c r="B34" s="40">
        <v>950</v>
      </c>
      <c r="D34" t="s">
        <v>214</v>
      </c>
      <c r="E34" s="40">
        <v>950</v>
      </c>
    </row>
    <row r="35" spans="1:5" x14ac:dyDescent="0.25">
      <c r="A35" t="s">
        <v>215</v>
      </c>
      <c r="B35" s="40">
        <v>1300</v>
      </c>
      <c r="D35" t="s">
        <v>215</v>
      </c>
      <c r="E35" s="40">
        <v>1300</v>
      </c>
    </row>
    <row r="36" spans="1:5" x14ac:dyDescent="0.25">
      <c r="A36" t="s">
        <v>216</v>
      </c>
      <c r="B36" s="40">
        <v>1650</v>
      </c>
      <c r="D36" t="s">
        <v>216</v>
      </c>
      <c r="E36" s="40">
        <v>1650</v>
      </c>
    </row>
    <row r="37" spans="1:5" x14ac:dyDescent="0.25">
      <c r="A37" t="s">
        <v>217</v>
      </c>
      <c r="B37" s="40">
        <v>500</v>
      </c>
      <c r="D37" t="s">
        <v>217</v>
      </c>
      <c r="E37" s="40">
        <v>500</v>
      </c>
    </row>
    <row r="38" spans="1:5" x14ac:dyDescent="0.25">
      <c r="A38" t="s">
        <v>218</v>
      </c>
      <c r="B38" s="40">
        <v>850</v>
      </c>
      <c r="D38" t="s">
        <v>218</v>
      </c>
      <c r="E38" s="40">
        <v>850</v>
      </c>
    </row>
    <row r="39" spans="1:5" x14ac:dyDescent="0.25">
      <c r="A39" t="s">
        <v>219</v>
      </c>
      <c r="B39" s="40">
        <v>1200</v>
      </c>
      <c r="D39" t="s">
        <v>219</v>
      </c>
      <c r="E39" s="40">
        <v>1200</v>
      </c>
    </row>
    <row r="40" spans="1:5" x14ac:dyDescent="0.25">
      <c r="A40" t="s">
        <v>220</v>
      </c>
      <c r="B40" s="40">
        <v>6000</v>
      </c>
      <c r="D40" t="s">
        <v>220</v>
      </c>
      <c r="E40" s="40">
        <v>6000</v>
      </c>
    </row>
    <row r="41" spans="1:5" x14ac:dyDescent="0.25">
      <c r="A41" t="s">
        <v>221</v>
      </c>
      <c r="B41" s="40">
        <v>7400</v>
      </c>
      <c r="D41" t="s">
        <v>221</v>
      </c>
      <c r="E41" s="40">
        <v>7400</v>
      </c>
    </row>
    <row r="42" spans="1:5" x14ac:dyDescent="0.25">
      <c r="A42" t="s">
        <v>222</v>
      </c>
      <c r="B42" s="40">
        <v>8800</v>
      </c>
      <c r="D42" t="s">
        <v>222</v>
      </c>
      <c r="E42" s="40">
        <v>8800</v>
      </c>
    </row>
    <row r="43" spans="1:5" x14ac:dyDescent="0.25">
      <c r="A43" t="s">
        <v>913</v>
      </c>
      <c r="B43" s="40">
        <v>5712</v>
      </c>
      <c r="D43" t="s">
        <v>913</v>
      </c>
      <c r="E43" s="40">
        <v>5712</v>
      </c>
    </row>
    <row r="44" spans="1:5" x14ac:dyDescent="0.25">
      <c r="A44" t="s">
        <v>914</v>
      </c>
      <c r="B44" s="40">
        <v>7560</v>
      </c>
      <c r="D44" t="s">
        <v>914</v>
      </c>
      <c r="E44" s="40">
        <v>7560</v>
      </c>
    </row>
    <row r="45" spans="1:5" x14ac:dyDescent="0.25">
      <c r="A45" t="s">
        <v>915</v>
      </c>
      <c r="B45" s="40">
        <v>11269</v>
      </c>
      <c r="D45" t="s">
        <v>915</v>
      </c>
      <c r="E45" s="40">
        <v>11269</v>
      </c>
    </row>
    <row r="46" spans="1:5" x14ac:dyDescent="0.25">
      <c r="A46" t="s">
        <v>900</v>
      </c>
      <c r="B46" s="40">
        <v>6776</v>
      </c>
      <c r="D46" t="s">
        <v>900</v>
      </c>
      <c r="E46" s="40">
        <v>6776</v>
      </c>
    </row>
    <row r="47" spans="1:5" x14ac:dyDescent="0.25">
      <c r="A47" t="s">
        <v>901</v>
      </c>
      <c r="B47" s="40">
        <v>8568</v>
      </c>
      <c r="D47" t="s">
        <v>901</v>
      </c>
      <c r="E47" s="40">
        <v>8568</v>
      </c>
    </row>
    <row r="48" spans="1:5" x14ac:dyDescent="0.25">
      <c r="A48" t="s">
        <v>902</v>
      </c>
      <c r="B48" s="40">
        <v>12390</v>
      </c>
      <c r="D48" t="s">
        <v>902</v>
      </c>
      <c r="E48" s="40">
        <v>12390</v>
      </c>
    </row>
    <row r="49" spans="1:5" x14ac:dyDescent="0.25">
      <c r="A49" t="s">
        <v>903</v>
      </c>
      <c r="B49" s="40">
        <v>7784</v>
      </c>
      <c r="D49" t="s">
        <v>903</v>
      </c>
      <c r="E49" s="40">
        <v>7784</v>
      </c>
    </row>
    <row r="50" spans="1:5" x14ac:dyDescent="0.25">
      <c r="A50" t="s">
        <v>904</v>
      </c>
      <c r="B50" s="40">
        <v>9617</v>
      </c>
      <c r="D50" t="s">
        <v>904</v>
      </c>
      <c r="E50" s="40">
        <v>9617</v>
      </c>
    </row>
    <row r="51" spans="1:5" x14ac:dyDescent="0.25">
      <c r="A51" t="s">
        <v>905</v>
      </c>
      <c r="B51" s="40">
        <v>13452</v>
      </c>
      <c r="D51" t="s">
        <v>905</v>
      </c>
      <c r="E51" s="40">
        <v>13452</v>
      </c>
    </row>
    <row r="52" spans="1:5" x14ac:dyDescent="0.25">
      <c r="A52" t="s">
        <v>285</v>
      </c>
      <c r="B52" s="40">
        <v>9440</v>
      </c>
      <c r="D52" t="s">
        <v>285</v>
      </c>
      <c r="E52" s="40">
        <v>9440</v>
      </c>
    </row>
    <row r="53" spans="1:5" x14ac:dyDescent="0.25">
      <c r="A53" t="s">
        <v>286</v>
      </c>
      <c r="B53" s="40">
        <v>11446</v>
      </c>
      <c r="D53" t="s">
        <v>286</v>
      </c>
      <c r="E53" s="40">
        <v>11446</v>
      </c>
    </row>
    <row r="54" spans="1:5" x14ac:dyDescent="0.25">
      <c r="A54" t="s">
        <v>287</v>
      </c>
      <c r="B54" s="40">
        <v>14927</v>
      </c>
      <c r="D54" t="s">
        <v>287</v>
      </c>
      <c r="E54" s="40">
        <v>14927</v>
      </c>
    </row>
    <row r="55" spans="1:5" x14ac:dyDescent="0.25">
      <c r="A55" t="s">
        <v>916</v>
      </c>
      <c r="B55" s="40">
        <v>11505</v>
      </c>
      <c r="D55" t="s">
        <v>916</v>
      </c>
      <c r="E55" s="40">
        <v>11505</v>
      </c>
    </row>
    <row r="56" spans="1:5" x14ac:dyDescent="0.25">
      <c r="A56" t="s">
        <v>917</v>
      </c>
      <c r="B56" s="40">
        <v>13570</v>
      </c>
      <c r="D56" t="s">
        <v>917</v>
      </c>
      <c r="E56" s="40">
        <v>13570</v>
      </c>
    </row>
    <row r="57" spans="1:5" x14ac:dyDescent="0.25">
      <c r="A57" t="s">
        <v>918</v>
      </c>
      <c r="B57" s="40">
        <v>17051</v>
      </c>
      <c r="D57" t="s">
        <v>918</v>
      </c>
      <c r="E57" s="40">
        <v>17051</v>
      </c>
    </row>
    <row r="58" spans="1:5" x14ac:dyDescent="0.25">
      <c r="A58" t="s">
        <v>919</v>
      </c>
      <c r="B58" s="40">
        <v>13865</v>
      </c>
      <c r="D58" t="s">
        <v>919</v>
      </c>
      <c r="E58" s="40">
        <v>13865</v>
      </c>
    </row>
    <row r="59" spans="1:5" x14ac:dyDescent="0.25">
      <c r="A59" t="s">
        <v>920</v>
      </c>
      <c r="B59" s="40">
        <v>15930</v>
      </c>
      <c r="D59" t="s">
        <v>920</v>
      </c>
      <c r="E59" s="40">
        <v>15930</v>
      </c>
    </row>
    <row r="60" spans="1:5" x14ac:dyDescent="0.25">
      <c r="A60" t="s">
        <v>921</v>
      </c>
      <c r="B60" s="40">
        <v>19588</v>
      </c>
      <c r="D60" t="s">
        <v>921</v>
      </c>
      <c r="E60" s="40">
        <v>19588</v>
      </c>
    </row>
    <row r="61" spans="1:5" x14ac:dyDescent="0.25">
      <c r="A61" t="s">
        <v>922</v>
      </c>
      <c r="B61" s="40">
        <v>16225</v>
      </c>
      <c r="D61" t="s">
        <v>922</v>
      </c>
      <c r="E61" s="40">
        <v>16225</v>
      </c>
    </row>
    <row r="62" spans="1:5" x14ac:dyDescent="0.25">
      <c r="A62" t="s">
        <v>923</v>
      </c>
      <c r="B62" s="40">
        <v>18290</v>
      </c>
      <c r="D62" t="s">
        <v>923</v>
      </c>
      <c r="E62" s="40">
        <v>18290</v>
      </c>
    </row>
    <row r="63" spans="1:5" x14ac:dyDescent="0.25">
      <c r="A63" t="s">
        <v>924</v>
      </c>
      <c r="B63" s="40">
        <v>21063</v>
      </c>
      <c r="D63" t="s">
        <v>924</v>
      </c>
      <c r="E63" s="40">
        <v>21063</v>
      </c>
    </row>
    <row r="64" spans="1:5" x14ac:dyDescent="0.25">
      <c r="A64" t="s">
        <v>925</v>
      </c>
      <c r="B64" s="40">
        <v>17995</v>
      </c>
      <c r="D64" t="s">
        <v>925</v>
      </c>
      <c r="E64" s="40">
        <v>17995</v>
      </c>
    </row>
    <row r="65" spans="1:5" x14ac:dyDescent="0.25">
      <c r="A65" t="s">
        <v>926</v>
      </c>
      <c r="B65" s="40">
        <v>20060</v>
      </c>
      <c r="D65" t="s">
        <v>926</v>
      </c>
      <c r="E65" s="40">
        <v>20060</v>
      </c>
    </row>
    <row r="66" spans="1:5" x14ac:dyDescent="0.25">
      <c r="A66" t="s">
        <v>927</v>
      </c>
      <c r="B66" s="40">
        <v>22597</v>
      </c>
      <c r="D66" t="s">
        <v>927</v>
      </c>
      <c r="E66" s="40">
        <v>22597</v>
      </c>
    </row>
    <row r="67" spans="1:5" x14ac:dyDescent="0.25">
      <c r="A67" t="s">
        <v>928</v>
      </c>
      <c r="B67" s="40">
        <v>27435</v>
      </c>
      <c r="D67" t="s">
        <v>928</v>
      </c>
      <c r="E67" s="40">
        <v>27435</v>
      </c>
    </row>
    <row r="68" spans="1:5" x14ac:dyDescent="0.25">
      <c r="A68" t="s">
        <v>929</v>
      </c>
      <c r="B68" s="40">
        <v>29500</v>
      </c>
      <c r="D68" t="s">
        <v>929</v>
      </c>
      <c r="E68" s="40">
        <v>29500</v>
      </c>
    </row>
    <row r="69" spans="1:5" x14ac:dyDescent="0.25">
      <c r="A69" t="s">
        <v>930</v>
      </c>
      <c r="B69" s="40">
        <v>31565</v>
      </c>
      <c r="D69" t="s">
        <v>930</v>
      </c>
      <c r="E69" s="40">
        <v>31565</v>
      </c>
    </row>
    <row r="70" spans="1:5" x14ac:dyDescent="0.25">
      <c r="A70" t="s">
        <v>288</v>
      </c>
      <c r="B70" s="40">
        <v>2000</v>
      </c>
      <c r="D70" t="s">
        <v>288</v>
      </c>
      <c r="E70" s="40">
        <v>2000</v>
      </c>
    </row>
    <row r="71" spans="1:5" x14ac:dyDescent="0.25">
      <c r="A71" t="s">
        <v>289</v>
      </c>
      <c r="B71" s="40">
        <v>2500</v>
      </c>
      <c r="D71" t="s">
        <v>289</v>
      </c>
      <c r="E71" s="40">
        <v>2500</v>
      </c>
    </row>
    <row r="72" spans="1:5" x14ac:dyDescent="0.25">
      <c r="A72" t="s">
        <v>290</v>
      </c>
      <c r="B72" s="40">
        <v>3000</v>
      </c>
      <c r="D72" t="s">
        <v>290</v>
      </c>
      <c r="E72" s="40">
        <v>3000</v>
      </c>
    </row>
    <row r="73" spans="1:5" x14ac:dyDescent="0.25">
      <c r="A73" t="s">
        <v>931</v>
      </c>
      <c r="B73" s="40">
        <v>1000</v>
      </c>
      <c r="D73" t="s">
        <v>931</v>
      </c>
      <c r="E73" s="40">
        <v>1000</v>
      </c>
    </row>
    <row r="74" spans="1:5" x14ac:dyDescent="0.25">
      <c r="A74" t="s">
        <v>932</v>
      </c>
      <c r="B74" s="40">
        <v>1750</v>
      </c>
      <c r="D74" t="s">
        <v>932</v>
      </c>
      <c r="E74" s="40">
        <v>1750</v>
      </c>
    </row>
    <row r="75" spans="1:5" x14ac:dyDescent="0.25">
      <c r="A75" t="s">
        <v>933</v>
      </c>
      <c r="B75" s="40">
        <v>2500</v>
      </c>
      <c r="D75" t="s">
        <v>933</v>
      </c>
      <c r="E75" s="40">
        <v>2500</v>
      </c>
    </row>
    <row r="76" spans="1:5" x14ac:dyDescent="0.25">
      <c r="A76" t="s">
        <v>291</v>
      </c>
      <c r="B76" s="40">
        <v>850</v>
      </c>
      <c r="D76" t="s">
        <v>291</v>
      </c>
      <c r="E76" s="40">
        <v>850</v>
      </c>
    </row>
    <row r="77" spans="1:5" x14ac:dyDescent="0.25">
      <c r="A77" t="s">
        <v>292</v>
      </c>
      <c r="B77" s="40">
        <v>1000</v>
      </c>
      <c r="D77" t="s">
        <v>292</v>
      </c>
      <c r="E77" s="40">
        <v>1000</v>
      </c>
    </row>
    <row r="78" spans="1:5" x14ac:dyDescent="0.25">
      <c r="A78" t="s">
        <v>293</v>
      </c>
      <c r="B78" s="40">
        <v>1000</v>
      </c>
      <c r="D78" t="s">
        <v>293</v>
      </c>
      <c r="E78" s="40">
        <v>1000</v>
      </c>
    </row>
    <row r="79" spans="1:5" x14ac:dyDescent="0.25">
      <c r="A79" t="s">
        <v>294</v>
      </c>
      <c r="B79" s="40">
        <v>3000</v>
      </c>
      <c r="D79" t="s">
        <v>294</v>
      </c>
      <c r="E79" s="40">
        <v>3000</v>
      </c>
    </row>
    <row r="80" spans="1:5" x14ac:dyDescent="0.25">
      <c r="A80" t="s">
        <v>295</v>
      </c>
      <c r="B80" s="40">
        <v>3400</v>
      </c>
      <c r="D80" t="s">
        <v>295</v>
      </c>
      <c r="E80" s="40">
        <v>3400</v>
      </c>
    </row>
    <row r="81" spans="1:5" x14ac:dyDescent="0.25">
      <c r="A81" t="s">
        <v>296</v>
      </c>
      <c r="B81" s="40">
        <v>3800</v>
      </c>
      <c r="D81" t="s">
        <v>296</v>
      </c>
      <c r="E81" s="40">
        <v>3800</v>
      </c>
    </row>
    <row r="82" spans="1:5" x14ac:dyDescent="0.25">
      <c r="A82" t="s">
        <v>297</v>
      </c>
      <c r="B82" s="40">
        <v>3500</v>
      </c>
      <c r="D82" t="s">
        <v>297</v>
      </c>
      <c r="E82" s="40">
        <v>3500</v>
      </c>
    </row>
    <row r="83" spans="1:5" x14ac:dyDescent="0.25">
      <c r="A83" t="s">
        <v>298</v>
      </c>
      <c r="B83" s="40">
        <v>3900</v>
      </c>
      <c r="D83" t="s">
        <v>298</v>
      </c>
      <c r="E83" s="40">
        <v>3900</v>
      </c>
    </row>
    <row r="84" spans="1:5" x14ac:dyDescent="0.25">
      <c r="A84" t="s">
        <v>299</v>
      </c>
      <c r="B84" s="40">
        <v>4300</v>
      </c>
      <c r="D84" t="s">
        <v>299</v>
      </c>
      <c r="E84" s="40">
        <v>4300</v>
      </c>
    </row>
    <row r="85" spans="1:5" x14ac:dyDescent="0.25">
      <c r="A85" t="s">
        <v>300</v>
      </c>
      <c r="B85" s="40">
        <v>6440</v>
      </c>
      <c r="D85" t="s">
        <v>300</v>
      </c>
      <c r="E85" s="40">
        <v>6440</v>
      </c>
    </row>
    <row r="86" spans="1:5" x14ac:dyDescent="0.25">
      <c r="A86" t="s">
        <v>301</v>
      </c>
      <c r="B86" s="40">
        <v>8568</v>
      </c>
      <c r="D86" t="s">
        <v>301</v>
      </c>
      <c r="E86" s="40">
        <v>8568</v>
      </c>
    </row>
    <row r="87" spans="1:5" x14ac:dyDescent="0.25">
      <c r="A87" t="s">
        <v>302</v>
      </c>
      <c r="B87" s="40">
        <v>12567</v>
      </c>
      <c r="D87" t="s">
        <v>302</v>
      </c>
      <c r="E87" s="40">
        <v>12567</v>
      </c>
    </row>
    <row r="88" spans="1:5" x14ac:dyDescent="0.25">
      <c r="A88" t="s">
        <v>303</v>
      </c>
      <c r="B88" s="40">
        <v>7392</v>
      </c>
      <c r="D88" t="s">
        <v>303</v>
      </c>
      <c r="E88" s="40">
        <v>7392</v>
      </c>
    </row>
    <row r="89" spans="1:5" x14ac:dyDescent="0.25">
      <c r="A89" t="s">
        <v>304</v>
      </c>
      <c r="B89" s="40">
        <v>9617</v>
      </c>
      <c r="D89" t="s">
        <v>304</v>
      </c>
      <c r="E89" s="40">
        <v>9617</v>
      </c>
    </row>
    <row r="90" spans="1:5" x14ac:dyDescent="0.25">
      <c r="A90" t="s">
        <v>305</v>
      </c>
      <c r="B90" s="40">
        <v>13806</v>
      </c>
      <c r="D90" t="s">
        <v>305</v>
      </c>
      <c r="E90" s="40">
        <v>13806</v>
      </c>
    </row>
    <row r="91" spans="1:5" x14ac:dyDescent="0.25">
      <c r="A91" t="s">
        <v>306</v>
      </c>
      <c r="B91" s="40">
        <v>11387</v>
      </c>
      <c r="D91" t="s">
        <v>306</v>
      </c>
      <c r="E91" s="40">
        <v>11387</v>
      </c>
    </row>
    <row r="92" spans="1:5" x14ac:dyDescent="0.25">
      <c r="A92" t="s">
        <v>307</v>
      </c>
      <c r="B92" s="40">
        <v>13570</v>
      </c>
      <c r="D92" t="s">
        <v>307</v>
      </c>
      <c r="E92" s="40">
        <v>13570</v>
      </c>
    </row>
    <row r="93" spans="1:5" x14ac:dyDescent="0.25">
      <c r="A93" t="s">
        <v>308</v>
      </c>
      <c r="B93" s="40">
        <v>16166</v>
      </c>
      <c r="D93" t="s">
        <v>308</v>
      </c>
      <c r="E93" s="40">
        <v>16166</v>
      </c>
    </row>
    <row r="94" spans="1:5" x14ac:dyDescent="0.25">
      <c r="A94" t="s">
        <v>309</v>
      </c>
      <c r="B94" s="40">
        <v>13393</v>
      </c>
      <c r="D94" t="s">
        <v>309</v>
      </c>
      <c r="E94" s="40">
        <v>13393</v>
      </c>
    </row>
    <row r="95" spans="1:5" x14ac:dyDescent="0.25">
      <c r="A95" t="s">
        <v>310</v>
      </c>
      <c r="B95" s="40">
        <v>15576</v>
      </c>
      <c r="D95" t="s">
        <v>310</v>
      </c>
      <c r="E95" s="40">
        <v>15576</v>
      </c>
    </row>
    <row r="96" spans="1:5" x14ac:dyDescent="0.25">
      <c r="A96" t="s">
        <v>311</v>
      </c>
      <c r="B96" s="40">
        <v>19116</v>
      </c>
      <c r="D96" t="s">
        <v>311</v>
      </c>
      <c r="E96" s="40">
        <v>19116</v>
      </c>
    </row>
    <row r="97" spans="1:5" x14ac:dyDescent="0.25">
      <c r="A97" t="s">
        <v>312</v>
      </c>
      <c r="B97" s="40">
        <v>23541</v>
      </c>
      <c r="D97" t="s">
        <v>312</v>
      </c>
      <c r="E97" s="40">
        <v>23541</v>
      </c>
    </row>
    <row r="98" spans="1:5" x14ac:dyDescent="0.25">
      <c r="A98" t="s">
        <v>313</v>
      </c>
      <c r="B98" s="40">
        <v>25960</v>
      </c>
      <c r="D98" t="s">
        <v>313</v>
      </c>
      <c r="E98" s="40">
        <v>25960</v>
      </c>
    </row>
    <row r="99" spans="1:5" x14ac:dyDescent="0.25">
      <c r="A99" t="s">
        <v>314</v>
      </c>
      <c r="B99" s="40">
        <v>29500</v>
      </c>
      <c r="D99" t="s">
        <v>314</v>
      </c>
      <c r="E99" s="40">
        <v>29500</v>
      </c>
    </row>
    <row r="100" spans="1:5" x14ac:dyDescent="0.25">
      <c r="A100" t="s">
        <v>315</v>
      </c>
      <c r="B100" s="40">
        <v>38940</v>
      </c>
      <c r="D100" t="s">
        <v>315</v>
      </c>
      <c r="E100" s="40">
        <v>38940</v>
      </c>
    </row>
    <row r="101" spans="1:5" x14ac:dyDescent="0.25">
      <c r="A101" t="s">
        <v>316</v>
      </c>
      <c r="B101" s="40">
        <v>41300</v>
      </c>
      <c r="D101" t="s">
        <v>316</v>
      </c>
      <c r="E101" s="40">
        <v>41300</v>
      </c>
    </row>
    <row r="102" spans="1:5" x14ac:dyDescent="0.25">
      <c r="A102" t="s">
        <v>317</v>
      </c>
      <c r="B102" s="40">
        <v>44781</v>
      </c>
      <c r="D102" t="s">
        <v>317</v>
      </c>
      <c r="E102" s="40">
        <v>44781</v>
      </c>
    </row>
    <row r="103" spans="1:5" x14ac:dyDescent="0.25">
      <c r="A103" t="s">
        <v>318</v>
      </c>
      <c r="B103" s="40">
        <v>2000</v>
      </c>
      <c r="D103" t="s">
        <v>318</v>
      </c>
      <c r="E103" s="40">
        <v>2000</v>
      </c>
    </row>
    <row r="104" spans="1:5" x14ac:dyDescent="0.25">
      <c r="A104" t="s">
        <v>319</v>
      </c>
      <c r="B104" s="40">
        <v>2500</v>
      </c>
      <c r="D104" t="s">
        <v>319</v>
      </c>
      <c r="E104" s="40">
        <v>2500</v>
      </c>
    </row>
    <row r="105" spans="1:5" x14ac:dyDescent="0.25">
      <c r="A105" t="s">
        <v>320</v>
      </c>
      <c r="B105" s="40">
        <v>3000</v>
      </c>
      <c r="D105" t="s">
        <v>320</v>
      </c>
      <c r="E105" s="40">
        <v>3000</v>
      </c>
    </row>
    <row r="106" spans="1:5" x14ac:dyDescent="0.25">
      <c r="A106" t="s">
        <v>321</v>
      </c>
      <c r="B106" s="40">
        <v>1000</v>
      </c>
      <c r="D106" t="s">
        <v>321</v>
      </c>
      <c r="E106" s="40">
        <v>1000</v>
      </c>
    </row>
    <row r="107" spans="1:5" x14ac:dyDescent="0.25">
      <c r="A107" t="s">
        <v>322</v>
      </c>
      <c r="B107" s="40">
        <v>1750</v>
      </c>
      <c r="D107" t="s">
        <v>322</v>
      </c>
      <c r="E107" s="40">
        <v>1750</v>
      </c>
    </row>
    <row r="108" spans="1:5" x14ac:dyDescent="0.25">
      <c r="A108" t="s">
        <v>323</v>
      </c>
      <c r="B108" s="40">
        <v>2500</v>
      </c>
      <c r="D108" t="s">
        <v>323</v>
      </c>
      <c r="E108" s="40">
        <v>2500</v>
      </c>
    </row>
    <row r="109" spans="1:5" x14ac:dyDescent="0.25">
      <c r="A109" t="s">
        <v>324</v>
      </c>
      <c r="B109" s="40">
        <v>850</v>
      </c>
      <c r="D109" t="s">
        <v>324</v>
      </c>
      <c r="E109" s="40">
        <v>850</v>
      </c>
    </row>
    <row r="110" spans="1:5" x14ac:dyDescent="0.25">
      <c r="A110" t="s">
        <v>325</v>
      </c>
      <c r="B110" s="40">
        <v>1000</v>
      </c>
      <c r="D110" t="s">
        <v>325</v>
      </c>
      <c r="E110" s="40">
        <v>1000</v>
      </c>
    </row>
    <row r="111" spans="1:5" x14ac:dyDescent="0.25">
      <c r="A111" t="s">
        <v>326</v>
      </c>
      <c r="B111" s="40">
        <v>1000</v>
      </c>
      <c r="D111" t="s">
        <v>326</v>
      </c>
      <c r="E111" s="40">
        <v>1000</v>
      </c>
    </row>
    <row r="112" spans="1:5" x14ac:dyDescent="0.25">
      <c r="A112" t="s">
        <v>327</v>
      </c>
      <c r="B112" s="40">
        <v>4704</v>
      </c>
      <c r="D112" t="s">
        <v>327</v>
      </c>
      <c r="E112" s="40">
        <v>4704</v>
      </c>
    </row>
    <row r="113" spans="1:5" x14ac:dyDescent="0.25">
      <c r="A113" t="s">
        <v>328</v>
      </c>
      <c r="B113" s="40">
        <v>6160</v>
      </c>
      <c r="D113" t="s">
        <v>328</v>
      </c>
      <c r="E113" s="40">
        <v>6160</v>
      </c>
    </row>
    <row r="114" spans="1:5" x14ac:dyDescent="0.25">
      <c r="A114" t="s">
        <v>329</v>
      </c>
      <c r="B114" s="40">
        <v>8344</v>
      </c>
      <c r="D114" t="s">
        <v>329</v>
      </c>
      <c r="E114" s="40">
        <v>8344</v>
      </c>
    </row>
    <row r="115" spans="1:5" x14ac:dyDescent="0.25">
      <c r="A115" t="s">
        <v>330</v>
      </c>
      <c r="B115" s="40">
        <v>5712</v>
      </c>
      <c r="D115" t="s">
        <v>330</v>
      </c>
      <c r="E115" s="40">
        <v>5712</v>
      </c>
    </row>
    <row r="116" spans="1:5" x14ac:dyDescent="0.25">
      <c r="A116" t="s">
        <v>331</v>
      </c>
      <c r="B116" s="40">
        <v>7280</v>
      </c>
      <c r="D116" t="s">
        <v>331</v>
      </c>
      <c r="E116" s="40">
        <v>7280</v>
      </c>
    </row>
    <row r="117" spans="1:5" x14ac:dyDescent="0.25">
      <c r="A117" t="s">
        <v>332</v>
      </c>
      <c r="B117" s="40">
        <v>9440</v>
      </c>
      <c r="D117" t="s">
        <v>332</v>
      </c>
      <c r="E117" s="40">
        <v>9440</v>
      </c>
    </row>
    <row r="118" spans="1:5" x14ac:dyDescent="0.25">
      <c r="A118" t="s">
        <v>333</v>
      </c>
      <c r="B118" s="40">
        <v>6720</v>
      </c>
      <c r="D118" t="s">
        <v>333</v>
      </c>
      <c r="E118" s="40">
        <v>6720</v>
      </c>
    </row>
    <row r="119" spans="1:5" x14ac:dyDescent="0.25">
      <c r="A119" t="s">
        <v>334</v>
      </c>
      <c r="B119" s="40">
        <v>8344</v>
      </c>
      <c r="D119" t="s">
        <v>334</v>
      </c>
      <c r="E119" s="40">
        <v>8344</v>
      </c>
    </row>
    <row r="120" spans="1:5" x14ac:dyDescent="0.25">
      <c r="A120" t="s">
        <v>335</v>
      </c>
      <c r="B120" s="40">
        <v>10620</v>
      </c>
      <c r="D120" t="s">
        <v>335</v>
      </c>
      <c r="E120" s="40">
        <v>10620</v>
      </c>
    </row>
    <row r="121" spans="1:5" x14ac:dyDescent="0.25">
      <c r="A121" t="s">
        <v>336</v>
      </c>
      <c r="B121" s="40">
        <v>10640</v>
      </c>
      <c r="D121" t="s">
        <v>336</v>
      </c>
      <c r="E121" s="40">
        <v>10640</v>
      </c>
    </row>
    <row r="122" spans="1:5" x14ac:dyDescent="0.25">
      <c r="A122" t="s">
        <v>337</v>
      </c>
      <c r="B122" s="40">
        <v>13570</v>
      </c>
      <c r="D122" t="s">
        <v>337</v>
      </c>
      <c r="E122" s="40">
        <v>13570</v>
      </c>
    </row>
    <row r="123" spans="1:5" x14ac:dyDescent="0.25">
      <c r="A123" t="s">
        <v>338</v>
      </c>
      <c r="B123" s="40">
        <v>15930</v>
      </c>
      <c r="D123" t="s">
        <v>338</v>
      </c>
      <c r="E123" s="40">
        <v>15930</v>
      </c>
    </row>
    <row r="124" spans="1:5" x14ac:dyDescent="0.25">
      <c r="A124" t="s">
        <v>339</v>
      </c>
      <c r="B124" s="40">
        <v>9464</v>
      </c>
      <c r="D124" t="s">
        <v>339</v>
      </c>
      <c r="E124" s="40">
        <v>9464</v>
      </c>
    </row>
    <row r="125" spans="1:5" x14ac:dyDescent="0.25">
      <c r="A125" t="s">
        <v>340</v>
      </c>
      <c r="B125" s="40">
        <v>11210</v>
      </c>
      <c r="D125" t="s">
        <v>340</v>
      </c>
      <c r="E125" s="40">
        <v>11210</v>
      </c>
    </row>
    <row r="126" spans="1:5" x14ac:dyDescent="0.25">
      <c r="A126" t="s">
        <v>341</v>
      </c>
      <c r="B126" s="40">
        <v>12390</v>
      </c>
      <c r="D126" t="s">
        <v>341</v>
      </c>
      <c r="E126" s="40">
        <v>12390</v>
      </c>
    </row>
    <row r="127" spans="1:5" x14ac:dyDescent="0.25">
      <c r="A127" t="s">
        <v>342</v>
      </c>
      <c r="B127" s="40">
        <v>1500</v>
      </c>
      <c r="D127" t="s">
        <v>342</v>
      </c>
      <c r="E127" s="40">
        <v>1500</v>
      </c>
    </row>
    <row r="128" spans="1:5" x14ac:dyDescent="0.25">
      <c r="A128" t="s">
        <v>343</v>
      </c>
      <c r="B128" s="40">
        <v>1700</v>
      </c>
      <c r="D128" t="s">
        <v>343</v>
      </c>
      <c r="E128" s="40">
        <v>1700</v>
      </c>
    </row>
    <row r="129" spans="1:5" x14ac:dyDescent="0.25">
      <c r="A129" t="s">
        <v>344</v>
      </c>
      <c r="B129" s="40">
        <v>2000</v>
      </c>
      <c r="D129" t="s">
        <v>344</v>
      </c>
      <c r="E129" s="40">
        <v>2000</v>
      </c>
    </row>
    <row r="130" spans="1:5" x14ac:dyDescent="0.25">
      <c r="A130" t="s">
        <v>345</v>
      </c>
      <c r="B130" s="40">
        <v>1000</v>
      </c>
      <c r="D130" t="s">
        <v>345</v>
      </c>
      <c r="E130" s="40">
        <v>1000</v>
      </c>
    </row>
    <row r="131" spans="1:5" x14ac:dyDescent="0.25">
      <c r="A131" t="s">
        <v>346</v>
      </c>
      <c r="B131" s="40">
        <v>1250</v>
      </c>
      <c r="D131" t="s">
        <v>346</v>
      </c>
      <c r="E131" s="40">
        <v>1250</v>
      </c>
    </row>
    <row r="132" spans="1:5" x14ac:dyDescent="0.25">
      <c r="A132" t="s">
        <v>347</v>
      </c>
      <c r="B132" s="40">
        <v>1250</v>
      </c>
      <c r="D132" t="s">
        <v>347</v>
      </c>
      <c r="E132" s="40">
        <v>1250</v>
      </c>
    </row>
    <row r="133" spans="1:5" x14ac:dyDescent="0.25">
      <c r="A133" t="s">
        <v>348</v>
      </c>
      <c r="B133" s="40">
        <v>750</v>
      </c>
      <c r="D133" t="s">
        <v>348</v>
      </c>
      <c r="E133" s="40">
        <v>750</v>
      </c>
    </row>
    <row r="134" spans="1:5" x14ac:dyDescent="0.25">
      <c r="A134" t="s">
        <v>349</v>
      </c>
      <c r="B134" s="40">
        <v>750</v>
      </c>
      <c r="D134" t="s">
        <v>349</v>
      </c>
      <c r="E134" s="40">
        <v>750</v>
      </c>
    </row>
    <row r="135" spans="1:5" x14ac:dyDescent="0.25">
      <c r="A135" t="s">
        <v>350</v>
      </c>
      <c r="B135" s="40">
        <v>750</v>
      </c>
      <c r="D135" t="s">
        <v>350</v>
      </c>
      <c r="E135" s="40">
        <v>750</v>
      </c>
    </row>
    <row r="136" spans="1:5" x14ac:dyDescent="0.25">
      <c r="A136" t="s">
        <v>351</v>
      </c>
      <c r="B136" s="40">
        <v>2800</v>
      </c>
      <c r="D136" t="s">
        <v>351</v>
      </c>
      <c r="E136" s="40">
        <v>2800</v>
      </c>
    </row>
    <row r="137" spans="1:5" x14ac:dyDescent="0.25">
      <c r="A137" t="s">
        <v>352</v>
      </c>
      <c r="B137" s="40">
        <v>4000</v>
      </c>
      <c r="D137" t="s">
        <v>352</v>
      </c>
      <c r="E137" s="40">
        <v>4000</v>
      </c>
    </row>
    <row r="138" spans="1:5" x14ac:dyDescent="0.25">
      <c r="A138" t="s">
        <v>353</v>
      </c>
      <c r="B138" s="40">
        <v>5200</v>
      </c>
      <c r="D138" t="s">
        <v>353</v>
      </c>
      <c r="E138" s="40">
        <v>5200</v>
      </c>
    </row>
    <row r="139" spans="1:5" x14ac:dyDescent="0.25">
      <c r="A139" t="s">
        <v>354</v>
      </c>
      <c r="B139" s="40">
        <v>3100</v>
      </c>
      <c r="D139" t="s">
        <v>354</v>
      </c>
      <c r="E139" s="40">
        <v>3100</v>
      </c>
    </row>
    <row r="140" spans="1:5" x14ac:dyDescent="0.25">
      <c r="A140" t="s">
        <v>355</v>
      </c>
      <c r="B140" s="40">
        <v>4300</v>
      </c>
      <c r="D140" t="s">
        <v>355</v>
      </c>
      <c r="E140" s="40">
        <v>4300</v>
      </c>
    </row>
    <row r="141" spans="1:5" x14ac:dyDescent="0.25">
      <c r="A141" t="s">
        <v>356</v>
      </c>
      <c r="B141" s="40">
        <v>5500</v>
      </c>
      <c r="D141" t="s">
        <v>356</v>
      </c>
      <c r="E141" s="40">
        <v>5500</v>
      </c>
    </row>
    <row r="142" spans="1:5" x14ac:dyDescent="0.25">
      <c r="A142" t="s">
        <v>357</v>
      </c>
      <c r="B142" s="40">
        <v>4000</v>
      </c>
      <c r="D142" t="s">
        <v>357</v>
      </c>
      <c r="E142" s="40">
        <v>4000</v>
      </c>
    </row>
    <row r="143" spans="1:5" x14ac:dyDescent="0.25">
      <c r="A143" t="s">
        <v>358</v>
      </c>
      <c r="B143" s="40">
        <v>5200</v>
      </c>
      <c r="D143" t="s">
        <v>358</v>
      </c>
      <c r="E143" s="40">
        <v>5200</v>
      </c>
    </row>
    <row r="144" spans="1:5" x14ac:dyDescent="0.25">
      <c r="A144" t="s">
        <v>359</v>
      </c>
      <c r="B144" s="40">
        <v>6400</v>
      </c>
      <c r="D144" t="s">
        <v>359</v>
      </c>
      <c r="E144" s="40">
        <v>6400</v>
      </c>
    </row>
    <row r="145" spans="1:5" x14ac:dyDescent="0.25">
      <c r="A145" t="s">
        <v>360</v>
      </c>
      <c r="B145" s="40">
        <v>900</v>
      </c>
      <c r="D145" t="s">
        <v>360</v>
      </c>
      <c r="E145" s="40">
        <v>900</v>
      </c>
    </row>
    <row r="146" spans="1:5" x14ac:dyDescent="0.25">
      <c r="A146" t="s">
        <v>361</v>
      </c>
      <c r="B146" s="40">
        <v>1500</v>
      </c>
      <c r="D146" t="s">
        <v>361</v>
      </c>
      <c r="E146" s="40">
        <v>1500</v>
      </c>
    </row>
    <row r="147" spans="1:5" x14ac:dyDescent="0.25">
      <c r="A147" t="s">
        <v>362</v>
      </c>
      <c r="B147" s="40">
        <v>2100</v>
      </c>
      <c r="D147" t="s">
        <v>362</v>
      </c>
      <c r="E147" s="40">
        <v>2100</v>
      </c>
    </row>
    <row r="148" spans="1:5" x14ac:dyDescent="0.25">
      <c r="A148" t="s">
        <v>363</v>
      </c>
      <c r="B148" s="40">
        <v>400</v>
      </c>
      <c r="D148" t="s">
        <v>363</v>
      </c>
      <c r="E148" s="40">
        <v>400</v>
      </c>
    </row>
    <row r="149" spans="1:5" x14ac:dyDescent="0.25">
      <c r="A149" t="s">
        <v>364</v>
      </c>
      <c r="B149" s="40">
        <v>850</v>
      </c>
      <c r="D149" t="s">
        <v>364</v>
      </c>
      <c r="E149" s="40">
        <v>850</v>
      </c>
    </row>
    <row r="150" spans="1:5" x14ac:dyDescent="0.25">
      <c r="A150" t="s">
        <v>365</v>
      </c>
      <c r="B150" s="40">
        <v>1200</v>
      </c>
      <c r="D150" t="s">
        <v>365</v>
      </c>
      <c r="E150" s="40">
        <v>1200</v>
      </c>
    </row>
    <row r="151" spans="1:5" x14ac:dyDescent="0.25">
      <c r="A151" t="s">
        <v>366</v>
      </c>
      <c r="B151" s="40">
        <v>700</v>
      </c>
      <c r="D151" t="s">
        <v>366</v>
      </c>
      <c r="E151" s="40">
        <v>700</v>
      </c>
    </row>
    <row r="152" spans="1:5" x14ac:dyDescent="0.25">
      <c r="A152" t="s">
        <v>367</v>
      </c>
      <c r="B152" s="40">
        <v>1200</v>
      </c>
      <c r="D152" t="s">
        <v>367</v>
      </c>
      <c r="E152" s="40">
        <v>1200</v>
      </c>
    </row>
    <row r="153" spans="1:5" x14ac:dyDescent="0.25">
      <c r="A153" t="s">
        <v>368</v>
      </c>
      <c r="B153" s="40">
        <v>1700</v>
      </c>
      <c r="D153" t="s">
        <v>368</v>
      </c>
      <c r="E153" s="40">
        <v>1700</v>
      </c>
    </row>
    <row r="154" spans="1:5" x14ac:dyDescent="0.25">
      <c r="A154" t="s">
        <v>516</v>
      </c>
      <c r="B154" s="40">
        <v>3500</v>
      </c>
      <c r="D154" t="s">
        <v>516</v>
      </c>
      <c r="E154" s="40">
        <v>3500</v>
      </c>
    </row>
    <row r="155" spans="1:5" x14ac:dyDescent="0.25">
      <c r="A155" t="s">
        <v>517</v>
      </c>
      <c r="B155" s="40">
        <v>3400</v>
      </c>
      <c r="D155" t="s">
        <v>517</v>
      </c>
      <c r="E155" s="40">
        <v>3400</v>
      </c>
    </row>
    <row r="156" spans="1:5" x14ac:dyDescent="0.25">
      <c r="A156" t="s">
        <v>686</v>
      </c>
      <c r="B156" s="40">
        <v>800</v>
      </c>
      <c r="D156" t="s">
        <v>686</v>
      </c>
      <c r="E156" s="40">
        <v>800</v>
      </c>
    </row>
    <row r="157" spans="1:5" x14ac:dyDescent="0.25">
      <c r="A157" t="s">
        <v>392</v>
      </c>
      <c r="B157" s="40">
        <v>1350</v>
      </c>
      <c r="D157" t="s">
        <v>392</v>
      </c>
      <c r="E157" s="40">
        <v>1350</v>
      </c>
    </row>
    <row r="158" spans="1:5" x14ac:dyDescent="0.25">
      <c r="A158" t="s">
        <v>761</v>
      </c>
      <c r="B158" s="40">
        <v>3600</v>
      </c>
      <c r="D158" t="s">
        <v>761</v>
      </c>
      <c r="E158" s="40">
        <v>3600</v>
      </c>
    </row>
    <row r="159" spans="1:5" x14ac:dyDescent="0.25">
      <c r="A159" t="s">
        <v>393</v>
      </c>
      <c r="B159" s="40">
        <v>4900</v>
      </c>
      <c r="D159" t="s">
        <v>393</v>
      </c>
      <c r="E159" s="40">
        <v>4900</v>
      </c>
    </row>
    <row r="160" spans="1:5" x14ac:dyDescent="0.25">
      <c r="A160" t="s">
        <v>762</v>
      </c>
      <c r="B160" s="40">
        <v>800</v>
      </c>
      <c r="D160" t="s">
        <v>762</v>
      </c>
      <c r="E160" s="40">
        <v>800</v>
      </c>
    </row>
    <row r="161" spans="1:5" x14ac:dyDescent="0.25">
      <c r="A161" t="s">
        <v>394</v>
      </c>
      <c r="B161" s="40">
        <v>1450</v>
      </c>
      <c r="D161" t="s">
        <v>394</v>
      </c>
      <c r="E161" s="40">
        <v>1450</v>
      </c>
    </row>
    <row r="162" spans="1:5" x14ac:dyDescent="0.25">
      <c r="A162" t="s">
        <v>534</v>
      </c>
      <c r="B162" s="40">
        <v>3400</v>
      </c>
      <c r="D162" t="s">
        <v>534</v>
      </c>
      <c r="E162" s="40">
        <v>3400</v>
      </c>
    </row>
    <row r="163" spans="1:5" x14ac:dyDescent="0.25">
      <c r="A163" t="s">
        <v>535</v>
      </c>
      <c r="B163" s="40">
        <v>4700</v>
      </c>
      <c r="D163" t="s">
        <v>535</v>
      </c>
      <c r="E163" s="40">
        <v>4700</v>
      </c>
    </row>
    <row r="164" spans="1:5" x14ac:dyDescent="0.25">
      <c r="A164" t="s">
        <v>536</v>
      </c>
      <c r="B164" s="40">
        <v>800</v>
      </c>
      <c r="D164" t="s">
        <v>536</v>
      </c>
      <c r="E164" s="40">
        <v>800</v>
      </c>
    </row>
    <row r="165" spans="1:5" x14ac:dyDescent="0.25">
      <c r="A165" t="s">
        <v>395</v>
      </c>
      <c r="B165" s="40">
        <v>1450</v>
      </c>
      <c r="D165" t="s">
        <v>395</v>
      </c>
      <c r="E165" s="40">
        <v>1450</v>
      </c>
    </row>
    <row r="166" spans="1:5" x14ac:dyDescent="0.25">
      <c r="A166" t="s">
        <v>626</v>
      </c>
      <c r="B166" s="40">
        <v>4900</v>
      </c>
      <c r="D166" t="s">
        <v>626</v>
      </c>
      <c r="E166" s="40">
        <v>4900</v>
      </c>
    </row>
    <row r="167" spans="1:5" x14ac:dyDescent="0.25">
      <c r="A167" t="s">
        <v>627</v>
      </c>
      <c r="B167" s="40">
        <v>6100</v>
      </c>
      <c r="D167" t="s">
        <v>627</v>
      </c>
      <c r="E167" s="40">
        <v>6100</v>
      </c>
    </row>
    <row r="168" spans="1:5" x14ac:dyDescent="0.25">
      <c r="A168" t="s">
        <v>628</v>
      </c>
      <c r="B168" s="40">
        <v>800</v>
      </c>
      <c r="D168" t="s">
        <v>628</v>
      </c>
      <c r="E168" s="40">
        <v>800</v>
      </c>
    </row>
    <row r="169" spans="1:5" x14ac:dyDescent="0.25">
      <c r="A169" t="s">
        <v>629</v>
      </c>
      <c r="B169" s="40">
        <v>1400</v>
      </c>
      <c r="D169" t="s">
        <v>629</v>
      </c>
      <c r="E169" s="40">
        <v>1400</v>
      </c>
    </row>
    <row r="170" spans="1:5" x14ac:dyDescent="0.25">
      <c r="A170" t="s">
        <v>397</v>
      </c>
      <c r="B170" s="40">
        <v>3500</v>
      </c>
      <c r="D170" t="s">
        <v>397</v>
      </c>
      <c r="E170" s="40">
        <v>3500</v>
      </c>
    </row>
    <row r="171" spans="1:5" x14ac:dyDescent="0.25">
      <c r="A171" t="s">
        <v>398</v>
      </c>
      <c r="B171" s="40">
        <v>4500</v>
      </c>
      <c r="D171" t="s">
        <v>398</v>
      </c>
      <c r="E171" s="40">
        <v>4500</v>
      </c>
    </row>
    <row r="172" spans="1:5" x14ac:dyDescent="0.25">
      <c r="A172" t="s">
        <v>399</v>
      </c>
      <c r="B172" s="40">
        <v>4500</v>
      </c>
      <c r="D172" t="s">
        <v>399</v>
      </c>
      <c r="E172" s="40">
        <v>4500</v>
      </c>
    </row>
    <row r="173" spans="1:5" x14ac:dyDescent="0.25">
      <c r="A173" t="s">
        <v>400</v>
      </c>
      <c r="B173" s="40">
        <v>5500</v>
      </c>
      <c r="D173" t="s">
        <v>400</v>
      </c>
      <c r="E173" s="40">
        <v>5500</v>
      </c>
    </row>
    <row r="174" spans="1:5" x14ac:dyDescent="0.25">
      <c r="A174" t="s">
        <v>401</v>
      </c>
      <c r="B174" s="40">
        <v>5500</v>
      </c>
      <c r="D174" t="s">
        <v>401</v>
      </c>
      <c r="E174" s="40">
        <v>5500</v>
      </c>
    </row>
    <row r="175" spans="1:5" x14ac:dyDescent="0.25">
      <c r="A175" t="s">
        <v>402</v>
      </c>
      <c r="B175" s="40">
        <v>6500</v>
      </c>
      <c r="D175" t="s">
        <v>402</v>
      </c>
      <c r="E175" s="40">
        <v>6500</v>
      </c>
    </row>
    <row r="176" spans="1:5" x14ac:dyDescent="0.25">
      <c r="A176" t="s">
        <v>403</v>
      </c>
      <c r="B176" s="40">
        <v>8000</v>
      </c>
      <c r="D176" t="s">
        <v>403</v>
      </c>
      <c r="E176" s="40">
        <v>8000</v>
      </c>
    </row>
    <row r="177" spans="1:5" x14ac:dyDescent="0.25">
      <c r="A177" t="s">
        <v>404</v>
      </c>
      <c r="B177" s="40">
        <v>9000</v>
      </c>
      <c r="D177" t="s">
        <v>404</v>
      </c>
      <c r="E177" s="40">
        <v>9000</v>
      </c>
    </row>
    <row r="178" spans="1:5" x14ac:dyDescent="0.25">
      <c r="A178" t="s">
        <v>405</v>
      </c>
      <c r="B178" s="40">
        <v>1000</v>
      </c>
      <c r="D178" t="s">
        <v>405</v>
      </c>
      <c r="E178" s="40">
        <v>1000</v>
      </c>
    </row>
    <row r="179" spans="1:5" x14ac:dyDescent="0.25">
      <c r="A179" t="s">
        <v>406</v>
      </c>
      <c r="B179" s="40">
        <v>2000</v>
      </c>
      <c r="D179" t="s">
        <v>406</v>
      </c>
      <c r="E179" s="40">
        <v>2000</v>
      </c>
    </row>
    <row r="180" spans="1:5" x14ac:dyDescent="0.25">
      <c r="A180" t="s">
        <v>412</v>
      </c>
      <c r="B180" s="40">
        <v>5500</v>
      </c>
      <c r="D180" t="s">
        <v>412</v>
      </c>
      <c r="E180" s="40">
        <v>5500</v>
      </c>
    </row>
    <row r="181" spans="1:5" x14ac:dyDescent="0.25">
      <c r="A181" t="s">
        <v>413</v>
      </c>
      <c r="B181" s="40">
        <v>8500</v>
      </c>
      <c r="D181" t="s">
        <v>413</v>
      </c>
      <c r="E181" s="40">
        <v>8500</v>
      </c>
    </row>
    <row r="182" spans="1:5" x14ac:dyDescent="0.25">
      <c r="A182" t="s">
        <v>453</v>
      </c>
      <c r="B182" s="40">
        <v>3200</v>
      </c>
      <c r="D182" t="s">
        <v>453</v>
      </c>
      <c r="E182" s="40">
        <v>3200</v>
      </c>
    </row>
    <row r="183" spans="1:5" x14ac:dyDescent="0.25">
      <c r="A183" t="s">
        <v>454</v>
      </c>
      <c r="B183" s="40">
        <v>4400</v>
      </c>
      <c r="D183" t="s">
        <v>454</v>
      </c>
      <c r="E183" s="40">
        <v>4400</v>
      </c>
    </row>
    <row r="184" spans="1:5" x14ac:dyDescent="0.25">
      <c r="A184" t="s">
        <v>455</v>
      </c>
      <c r="B184" s="40">
        <v>5600</v>
      </c>
      <c r="D184" t="s">
        <v>455</v>
      </c>
      <c r="E184" s="40">
        <v>5600</v>
      </c>
    </row>
    <row r="185" spans="1:5" x14ac:dyDescent="0.25">
      <c r="A185" t="s">
        <v>456</v>
      </c>
      <c r="B185" s="40">
        <v>3500</v>
      </c>
      <c r="D185" t="s">
        <v>456</v>
      </c>
      <c r="E185" s="40">
        <v>3500</v>
      </c>
    </row>
    <row r="186" spans="1:5" x14ac:dyDescent="0.25">
      <c r="A186" t="s">
        <v>457</v>
      </c>
      <c r="B186" s="40">
        <v>4700</v>
      </c>
      <c r="D186" t="s">
        <v>457</v>
      </c>
      <c r="E186" s="40">
        <v>4700</v>
      </c>
    </row>
    <row r="187" spans="1:5" x14ac:dyDescent="0.25">
      <c r="A187" t="s">
        <v>458</v>
      </c>
      <c r="B187" s="40">
        <v>5900</v>
      </c>
      <c r="D187" t="s">
        <v>458</v>
      </c>
      <c r="E187" s="40">
        <v>5900</v>
      </c>
    </row>
    <row r="188" spans="1:5" x14ac:dyDescent="0.25">
      <c r="A188" t="s">
        <v>459</v>
      </c>
      <c r="B188" s="40">
        <v>4500</v>
      </c>
      <c r="D188" t="s">
        <v>459</v>
      </c>
      <c r="E188" s="40">
        <v>4500</v>
      </c>
    </row>
    <row r="189" spans="1:5" x14ac:dyDescent="0.25">
      <c r="A189" t="s">
        <v>460</v>
      </c>
      <c r="B189" s="40">
        <v>5700</v>
      </c>
      <c r="D189" t="s">
        <v>460</v>
      </c>
      <c r="E189" s="40">
        <v>5700</v>
      </c>
    </row>
    <row r="190" spans="1:5" x14ac:dyDescent="0.25">
      <c r="A190" t="s">
        <v>461</v>
      </c>
      <c r="B190" s="40">
        <v>6900</v>
      </c>
      <c r="D190" t="s">
        <v>461</v>
      </c>
      <c r="E190" s="40">
        <v>6900</v>
      </c>
    </row>
    <row r="191" spans="1:5" x14ac:dyDescent="0.25">
      <c r="A191" t="s">
        <v>462</v>
      </c>
      <c r="B191" s="40">
        <v>1000</v>
      </c>
      <c r="D191" t="s">
        <v>462</v>
      </c>
      <c r="E191" s="40">
        <v>1000</v>
      </c>
    </row>
    <row r="192" spans="1:5" x14ac:dyDescent="0.25">
      <c r="A192" t="s">
        <v>463</v>
      </c>
      <c r="B192" s="40">
        <v>1600</v>
      </c>
      <c r="D192" t="s">
        <v>463</v>
      </c>
      <c r="E192" s="40">
        <v>1600</v>
      </c>
    </row>
    <row r="193" spans="1:5" x14ac:dyDescent="0.25">
      <c r="A193" t="s">
        <v>464</v>
      </c>
      <c r="B193" s="40">
        <v>2200</v>
      </c>
      <c r="D193" t="s">
        <v>464</v>
      </c>
      <c r="E193" s="40">
        <v>2200</v>
      </c>
    </row>
    <row r="194" spans="1:5" x14ac:dyDescent="0.25">
      <c r="A194" t="s">
        <v>465</v>
      </c>
      <c r="B194" s="40">
        <v>800</v>
      </c>
      <c r="D194" t="s">
        <v>465</v>
      </c>
      <c r="E194" s="40">
        <v>800</v>
      </c>
    </row>
    <row r="195" spans="1:5" x14ac:dyDescent="0.25">
      <c r="A195" t="s">
        <v>466</v>
      </c>
      <c r="B195" s="40">
        <v>1200</v>
      </c>
      <c r="D195" t="s">
        <v>466</v>
      </c>
      <c r="E195" s="40">
        <v>1200</v>
      </c>
    </row>
    <row r="196" spans="1:5" x14ac:dyDescent="0.25">
      <c r="A196" t="s">
        <v>467</v>
      </c>
      <c r="B196" s="40">
        <v>1600</v>
      </c>
      <c r="D196" t="s">
        <v>467</v>
      </c>
      <c r="E196" s="40">
        <v>1600</v>
      </c>
    </row>
    <row r="197" spans="1:5" x14ac:dyDescent="0.25">
      <c r="A197" t="s">
        <v>468</v>
      </c>
      <c r="B197" s="40">
        <v>500</v>
      </c>
      <c r="D197" t="s">
        <v>468</v>
      </c>
      <c r="E197" s="40">
        <v>500</v>
      </c>
    </row>
    <row r="198" spans="1:5" x14ac:dyDescent="0.25">
      <c r="A198" t="s">
        <v>469</v>
      </c>
      <c r="B198" s="40">
        <v>800</v>
      </c>
      <c r="D198" t="s">
        <v>469</v>
      </c>
      <c r="E198" s="40">
        <v>800</v>
      </c>
    </row>
    <row r="199" spans="1:5" x14ac:dyDescent="0.25">
      <c r="A199" t="s">
        <v>470</v>
      </c>
      <c r="B199" s="40">
        <v>1100</v>
      </c>
      <c r="D199" t="s">
        <v>470</v>
      </c>
      <c r="E199" s="40">
        <v>1100</v>
      </c>
    </row>
    <row r="200" spans="1:5" x14ac:dyDescent="0.25">
      <c r="A200" t="s">
        <v>471</v>
      </c>
      <c r="B200" s="40">
        <v>2500</v>
      </c>
      <c r="D200" t="s">
        <v>471</v>
      </c>
      <c r="E200" s="40">
        <v>2500</v>
      </c>
    </row>
    <row r="201" spans="1:5" x14ac:dyDescent="0.25">
      <c r="A201" t="s">
        <v>472</v>
      </c>
      <c r="B201" s="40">
        <v>3600</v>
      </c>
      <c r="D201" t="s">
        <v>472</v>
      </c>
      <c r="E201" s="40">
        <v>3600</v>
      </c>
    </row>
    <row r="202" spans="1:5" x14ac:dyDescent="0.25">
      <c r="A202" t="s">
        <v>473</v>
      </c>
      <c r="B202" s="40">
        <v>4700</v>
      </c>
      <c r="D202" t="s">
        <v>473</v>
      </c>
      <c r="E202" s="40">
        <v>4700</v>
      </c>
    </row>
    <row r="203" spans="1:5" x14ac:dyDescent="0.25">
      <c r="A203" t="s">
        <v>474</v>
      </c>
      <c r="B203" s="40">
        <v>2800</v>
      </c>
      <c r="D203" t="s">
        <v>474</v>
      </c>
      <c r="E203" s="40">
        <v>2800</v>
      </c>
    </row>
    <row r="204" spans="1:5" x14ac:dyDescent="0.25">
      <c r="A204" t="s">
        <v>475</v>
      </c>
      <c r="B204" s="40">
        <v>3900</v>
      </c>
      <c r="D204" t="s">
        <v>475</v>
      </c>
      <c r="E204" s="40">
        <v>3900</v>
      </c>
    </row>
    <row r="205" spans="1:5" x14ac:dyDescent="0.25">
      <c r="A205" t="s">
        <v>476</v>
      </c>
      <c r="B205" s="40">
        <v>5000</v>
      </c>
      <c r="D205" t="s">
        <v>476</v>
      </c>
      <c r="E205" s="40">
        <v>5000</v>
      </c>
    </row>
    <row r="206" spans="1:5" x14ac:dyDescent="0.25">
      <c r="A206" t="s">
        <v>477</v>
      </c>
      <c r="B206" s="40">
        <v>3300</v>
      </c>
      <c r="D206" t="s">
        <v>477</v>
      </c>
      <c r="E206" s="40">
        <v>3300</v>
      </c>
    </row>
    <row r="207" spans="1:5" x14ac:dyDescent="0.25">
      <c r="A207" t="s">
        <v>478</v>
      </c>
      <c r="B207" s="40">
        <v>4400</v>
      </c>
      <c r="D207" t="s">
        <v>478</v>
      </c>
      <c r="E207" s="40">
        <v>4400</v>
      </c>
    </row>
    <row r="208" spans="1:5" x14ac:dyDescent="0.25">
      <c r="A208" t="s">
        <v>479</v>
      </c>
      <c r="B208" s="40">
        <v>5500</v>
      </c>
      <c r="D208" t="s">
        <v>479</v>
      </c>
      <c r="E208" s="40">
        <v>5500</v>
      </c>
    </row>
    <row r="209" spans="1:5" x14ac:dyDescent="0.25">
      <c r="A209" t="s">
        <v>480</v>
      </c>
      <c r="B209" s="40">
        <v>3600</v>
      </c>
      <c r="D209" t="s">
        <v>480</v>
      </c>
      <c r="E209" s="40">
        <v>3600</v>
      </c>
    </row>
    <row r="210" spans="1:5" x14ac:dyDescent="0.25">
      <c r="A210" t="s">
        <v>481</v>
      </c>
      <c r="B210" s="40">
        <v>4700</v>
      </c>
      <c r="D210" t="s">
        <v>481</v>
      </c>
      <c r="E210" s="40">
        <v>4700</v>
      </c>
    </row>
    <row r="211" spans="1:5" x14ac:dyDescent="0.25">
      <c r="A211" t="s">
        <v>482</v>
      </c>
      <c r="B211" s="40">
        <v>5800</v>
      </c>
      <c r="D211" t="s">
        <v>482</v>
      </c>
      <c r="E211" s="40">
        <v>5800</v>
      </c>
    </row>
    <row r="212" spans="1:5" x14ac:dyDescent="0.25">
      <c r="A212" t="s">
        <v>483</v>
      </c>
      <c r="B212" s="40">
        <v>800</v>
      </c>
      <c r="D212" t="s">
        <v>483</v>
      </c>
      <c r="E212" s="40">
        <v>800</v>
      </c>
    </row>
    <row r="213" spans="1:5" x14ac:dyDescent="0.25">
      <c r="A213" t="s">
        <v>484</v>
      </c>
      <c r="B213" s="40">
        <v>1350</v>
      </c>
      <c r="D213" t="s">
        <v>484</v>
      </c>
      <c r="E213" s="40">
        <v>1350</v>
      </c>
    </row>
    <row r="214" spans="1:5" x14ac:dyDescent="0.25">
      <c r="A214" t="s">
        <v>485</v>
      </c>
      <c r="B214" s="40">
        <v>1900</v>
      </c>
      <c r="D214" t="s">
        <v>485</v>
      </c>
      <c r="E214" s="40">
        <v>1900</v>
      </c>
    </row>
    <row r="215" spans="1:5" x14ac:dyDescent="0.25">
      <c r="A215" t="s">
        <v>486</v>
      </c>
      <c r="B215" s="40">
        <v>600</v>
      </c>
      <c r="D215" t="s">
        <v>486</v>
      </c>
      <c r="E215" s="40">
        <v>600</v>
      </c>
    </row>
    <row r="216" spans="1:5" x14ac:dyDescent="0.25">
      <c r="A216" t="s">
        <v>487</v>
      </c>
      <c r="B216" s="40">
        <v>900</v>
      </c>
      <c r="D216" t="s">
        <v>487</v>
      </c>
      <c r="E216" s="40">
        <v>900</v>
      </c>
    </row>
    <row r="217" spans="1:5" x14ac:dyDescent="0.25">
      <c r="A217" t="s">
        <v>488</v>
      </c>
      <c r="B217" s="40">
        <v>1200</v>
      </c>
      <c r="D217" t="s">
        <v>488</v>
      </c>
      <c r="E217" s="40">
        <v>1200</v>
      </c>
    </row>
    <row r="218" spans="1:5" x14ac:dyDescent="0.25">
      <c r="A218" t="s">
        <v>489</v>
      </c>
      <c r="B218" s="40">
        <v>400</v>
      </c>
      <c r="D218" t="s">
        <v>489</v>
      </c>
      <c r="E218" s="40">
        <v>400</v>
      </c>
    </row>
    <row r="219" spans="1:5" x14ac:dyDescent="0.25">
      <c r="A219" t="s">
        <v>490</v>
      </c>
      <c r="B219" s="40">
        <v>700</v>
      </c>
      <c r="D219" t="s">
        <v>490</v>
      </c>
      <c r="E219" s="40">
        <v>700</v>
      </c>
    </row>
    <row r="220" spans="1:5" x14ac:dyDescent="0.25">
      <c r="A220" t="s">
        <v>491</v>
      </c>
      <c r="B220" s="40">
        <v>1000</v>
      </c>
      <c r="D220" t="s">
        <v>491</v>
      </c>
      <c r="E220" s="40">
        <v>1000</v>
      </c>
    </row>
    <row r="221" spans="1:5" x14ac:dyDescent="0.25">
      <c r="A221" t="s">
        <v>492</v>
      </c>
      <c r="B221" s="40">
        <v>3300</v>
      </c>
      <c r="D221" t="s">
        <v>492</v>
      </c>
      <c r="E221" s="40">
        <v>3300</v>
      </c>
    </row>
    <row r="222" spans="1:5" x14ac:dyDescent="0.25">
      <c r="A222" t="s">
        <v>493</v>
      </c>
      <c r="B222" s="40">
        <v>4300</v>
      </c>
      <c r="D222" t="s">
        <v>493</v>
      </c>
      <c r="E222" s="40">
        <v>4300</v>
      </c>
    </row>
    <row r="223" spans="1:5" x14ac:dyDescent="0.25">
      <c r="A223" t="s">
        <v>494</v>
      </c>
      <c r="B223" s="40">
        <v>3800</v>
      </c>
      <c r="D223" t="s">
        <v>494</v>
      </c>
      <c r="E223" s="40">
        <v>3800</v>
      </c>
    </row>
    <row r="224" spans="1:5" x14ac:dyDescent="0.25">
      <c r="A224" t="s">
        <v>495</v>
      </c>
      <c r="B224" s="40">
        <v>4800</v>
      </c>
      <c r="D224" t="s">
        <v>495</v>
      </c>
      <c r="E224" s="40">
        <v>4800</v>
      </c>
    </row>
    <row r="225" spans="1:5" x14ac:dyDescent="0.25">
      <c r="A225" t="s">
        <v>496</v>
      </c>
      <c r="B225" s="40">
        <v>4100</v>
      </c>
      <c r="D225" t="s">
        <v>496</v>
      </c>
      <c r="E225" s="40">
        <v>4100</v>
      </c>
    </row>
    <row r="226" spans="1:5" x14ac:dyDescent="0.25">
      <c r="A226" t="s">
        <v>497</v>
      </c>
      <c r="B226" s="40">
        <v>5100</v>
      </c>
      <c r="D226" t="s">
        <v>497</v>
      </c>
      <c r="E226" s="40">
        <v>5100</v>
      </c>
    </row>
    <row r="227" spans="1:5" x14ac:dyDescent="0.25">
      <c r="A227" t="s">
        <v>498</v>
      </c>
      <c r="B227" s="40">
        <v>4800</v>
      </c>
      <c r="D227" t="s">
        <v>498</v>
      </c>
      <c r="E227" s="40">
        <v>4800</v>
      </c>
    </row>
    <row r="228" spans="1:5" x14ac:dyDescent="0.25">
      <c r="A228" t="s">
        <v>499</v>
      </c>
      <c r="B228" s="40">
        <v>6800</v>
      </c>
      <c r="D228" t="s">
        <v>499</v>
      </c>
      <c r="E228" s="40">
        <v>6800</v>
      </c>
    </row>
    <row r="229" spans="1:5" x14ac:dyDescent="0.25">
      <c r="A229" t="s">
        <v>687</v>
      </c>
      <c r="B229" s="40" t="s">
        <v>452</v>
      </c>
      <c r="D229" t="s">
        <v>687</v>
      </c>
      <c r="E229" s="40" t="s">
        <v>452</v>
      </c>
    </row>
    <row r="230" spans="1:5" x14ac:dyDescent="0.25">
      <c r="A230" t="s">
        <v>500</v>
      </c>
      <c r="B230" s="40">
        <v>5000</v>
      </c>
      <c r="D230" t="s">
        <v>500</v>
      </c>
      <c r="E230" s="40">
        <v>5000</v>
      </c>
    </row>
    <row r="231" spans="1:5" x14ac:dyDescent="0.25">
      <c r="A231" t="s">
        <v>501</v>
      </c>
      <c r="B231" s="40">
        <v>6000</v>
      </c>
      <c r="D231" t="s">
        <v>501</v>
      </c>
      <c r="E231" s="40">
        <v>6000</v>
      </c>
    </row>
    <row r="232" spans="1:5" x14ac:dyDescent="0.25">
      <c r="A232" t="s">
        <v>688</v>
      </c>
      <c r="B232" s="40" t="s">
        <v>452</v>
      </c>
      <c r="D232" t="s">
        <v>688</v>
      </c>
      <c r="E232" s="40" t="s">
        <v>452</v>
      </c>
    </row>
    <row r="233" spans="1:5" x14ac:dyDescent="0.25">
      <c r="A233" t="s">
        <v>502</v>
      </c>
      <c r="B233" s="40">
        <v>5500</v>
      </c>
      <c r="D233" t="s">
        <v>502</v>
      </c>
      <c r="E233" s="40">
        <v>5500</v>
      </c>
    </row>
    <row r="234" spans="1:5" x14ac:dyDescent="0.25">
      <c r="A234" t="s">
        <v>503</v>
      </c>
      <c r="B234" s="40">
        <v>6500</v>
      </c>
      <c r="D234" t="s">
        <v>503</v>
      </c>
      <c r="E234" s="40">
        <v>6500</v>
      </c>
    </row>
    <row r="235" spans="1:5" x14ac:dyDescent="0.25">
      <c r="A235" t="s">
        <v>504</v>
      </c>
      <c r="B235" s="40" t="s">
        <v>452</v>
      </c>
      <c r="D235" t="s">
        <v>504</v>
      </c>
      <c r="E235" s="40" t="s">
        <v>452</v>
      </c>
    </row>
    <row r="236" spans="1:5" x14ac:dyDescent="0.25">
      <c r="A236" t="s">
        <v>505</v>
      </c>
      <c r="B236" s="40">
        <v>900</v>
      </c>
      <c r="D236" t="s">
        <v>505</v>
      </c>
      <c r="E236" s="40">
        <v>900</v>
      </c>
    </row>
    <row r="237" spans="1:5" x14ac:dyDescent="0.25">
      <c r="A237" t="s">
        <v>506</v>
      </c>
      <c r="B237" s="40">
        <v>1400</v>
      </c>
      <c r="D237" t="s">
        <v>506</v>
      </c>
      <c r="E237" s="40">
        <v>1400</v>
      </c>
    </row>
    <row r="238" spans="1:5" x14ac:dyDescent="0.25">
      <c r="A238" t="s">
        <v>507</v>
      </c>
      <c r="B238" s="40">
        <v>600</v>
      </c>
      <c r="D238" t="s">
        <v>507</v>
      </c>
      <c r="E238" s="40">
        <v>600</v>
      </c>
    </row>
    <row r="239" spans="1:5" x14ac:dyDescent="0.25">
      <c r="A239" t="s">
        <v>508</v>
      </c>
      <c r="B239" s="40">
        <v>900</v>
      </c>
      <c r="D239" t="s">
        <v>508</v>
      </c>
      <c r="E239" s="40">
        <v>900</v>
      </c>
    </row>
    <row r="240" spans="1:5" x14ac:dyDescent="0.25">
      <c r="A240" t="s">
        <v>509</v>
      </c>
      <c r="B240" s="40">
        <v>400</v>
      </c>
      <c r="D240" t="s">
        <v>509</v>
      </c>
      <c r="E240" s="40">
        <v>400</v>
      </c>
    </row>
    <row r="241" spans="1:5" x14ac:dyDescent="0.25">
      <c r="A241" t="s">
        <v>510</v>
      </c>
      <c r="B241" s="40">
        <v>700</v>
      </c>
      <c r="D241" t="s">
        <v>510</v>
      </c>
      <c r="E241" s="40">
        <v>700</v>
      </c>
    </row>
    <row r="242" spans="1:5" x14ac:dyDescent="0.25">
      <c r="A242" t="s">
        <v>511</v>
      </c>
      <c r="B242" s="40" t="s">
        <v>452</v>
      </c>
      <c r="D242" t="s">
        <v>511</v>
      </c>
      <c r="E242" s="40" t="s">
        <v>452</v>
      </c>
    </row>
    <row r="243" spans="1:5" x14ac:dyDescent="0.25">
      <c r="A243" t="s">
        <v>518</v>
      </c>
      <c r="B243" s="40">
        <v>3750</v>
      </c>
      <c r="D243" t="s">
        <v>518</v>
      </c>
      <c r="E243" s="40">
        <v>3750</v>
      </c>
    </row>
    <row r="244" spans="1:5" x14ac:dyDescent="0.25">
      <c r="A244" t="s">
        <v>689</v>
      </c>
      <c r="B244" s="40">
        <v>4950</v>
      </c>
      <c r="D244" t="s">
        <v>689</v>
      </c>
      <c r="E244" s="40">
        <v>4950</v>
      </c>
    </row>
    <row r="245" spans="1:5" x14ac:dyDescent="0.25">
      <c r="A245" t="s">
        <v>537</v>
      </c>
      <c r="B245" s="40">
        <v>3100</v>
      </c>
      <c r="D245" t="s">
        <v>537</v>
      </c>
      <c r="E245" s="40">
        <v>3100</v>
      </c>
    </row>
    <row r="246" spans="1:5" x14ac:dyDescent="0.25">
      <c r="A246" t="s">
        <v>538</v>
      </c>
      <c r="B246" s="40">
        <v>4400</v>
      </c>
      <c r="D246" t="s">
        <v>538</v>
      </c>
      <c r="E246" s="40">
        <v>4400</v>
      </c>
    </row>
    <row r="247" spans="1:5" x14ac:dyDescent="0.25">
      <c r="A247" t="s">
        <v>539</v>
      </c>
      <c r="B247" s="40">
        <v>3600</v>
      </c>
      <c r="D247" t="s">
        <v>539</v>
      </c>
      <c r="E247" s="40">
        <v>3600</v>
      </c>
    </row>
    <row r="248" spans="1:5" x14ac:dyDescent="0.25">
      <c r="A248" t="s">
        <v>540</v>
      </c>
      <c r="B248" s="40">
        <v>4900</v>
      </c>
      <c r="D248" t="s">
        <v>540</v>
      </c>
      <c r="E248" s="40">
        <v>4900</v>
      </c>
    </row>
    <row r="249" spans="1:5" x14ac:dyDescent="0.25">
      <c r="A249" t="s">
        <v>690</v>
      </c>
      <c r="B249" s="40" t="s">
        <v>452</v>
      </c>
      <c r="D249" t="s">
        <v>690</v>
      </c>
      <c r="E249" s="40" t="s">
        <v>452</v>
      </c>
    </row>
    <row r="250" spans="1:5" x14ac:dyDescent="0.25">
      <c r="A250" t="s">
        <v>541</v>
      </c>
      <c r="B250" s="40">
        <v>3700</v>
      </c>
      <c r="D250" t="s">
        <v>541</v>
      </c>
      <c r="E250" s="40">
        <v>3700</v>
      </c>
    </row>
    <row r="251" spans="1:5" x14ac:dyDescent="0.25">
      <c r="A251" t="s">
        <v>542</v>
      </c>
      <c r="B251" s="40">
        <v>5000</v>
      </c>
      <c r="D251" t="s">
        <v>542</v>
      </c>
      <c r="E251" s="40">
        <v>5000</v>
      </c>
    </row>
    <row r="252" spans="1:5" x14ac:dyDescent="0.25">
      <c r="A252" t="s">
        <v>543</v>
      </c>
      <c r="B252" s="40">
        <v>5500</v>
      </c>
      <c r="D252" t="s">
        <v>543</v>
      </c>
      <c r="E252" s="40">
        <v>5500</v>
      </c>
    </row>
    <row r="253" spans="1:5" x14ac:dyDescent="0.25">
      <c r="A253" t="s">
        <v>544</v>
      </c>
      <c r="B253" s="40">
        <v>6800</v>
      </c>
      <c r="D253" t="s">
        <v>544</v>
      </c>
      <c r="E253" s="40">
        <v>6800</v>
      </c>
    </row>
    <row r="254" spans="1:5" x14ac:dyDescent="0.25">
      <c r="A254" t="s">
        <v>545</v>
      </c>
      <c r="B254" s="40">
        <v>6000</v>
      </c>
      <c r="D254" t="s">
        <v>545</v>
      </c>
      <c r="E254" s="40">
        <v>6000</v>
      </c>
    </row>
    <row r="255" spans="1:5" x14ac:dyDescent="0.25">
      <c r="A255" t="s">
        <v>546</v>
      </c>
      <c r="B255" s="40">
        <v>7300</v>
      </c>
      <c r="D255" t="s">
        <v>546</v>
      </c>
      <c r="E255" s="40">
        <v>7300</v>
      </c>
    </row>
    <row r="256" spans="1:5" x14ac:dyDescent="0.25">
      <c r="A256" t="s">
        <v>547</v>
      </c>
      <c r="B256" s="40">
        <v>800</v>
      </c>
      <c r="D256" t="s">
        <v>547</v>
      </c>
      <c r="E256" s="40">
        <v>800</v>
      </c>
    </row>
    <row r="257" spans="1:5" x14ac:dyDescent="0.25">
      <c r="A257" t="s">
        <v>396</v>
      </c>
      <c r="B257" s="40">
        <v>1450</v>
      </c>
      <c r="D257" t="s">
        <v>396</v>
      </c>
      <c r="E257" s="40">
        <v>1450</v>
      </c>
    </row>
    <row r="258" spans="1:5" x14ac:dyDescent="0.25">
      <c r="A258" t="s">
        <v>548</v>
      </c>
      <c r="B258" s="40">
        <v>600</v>
      </c>
      <c r="D258" t="s">
        <v>548</v>
      </c>
      <c r="E258" s="40">
        <v>600</v>
      </c>
    </row>
    <row r="259" spans="1:5" x14ac:dyDescent="0.25">
      <c r="A259" t="s">
        <v>549</v>
      </c>
      <c r="B259" s="40">
        <v>1000</v>
      </c>
      <c r="D259" t="s">
        <v>549</v>
      </c>
      <c r="E259" s="40">
        <v>1000</v>
      </c>
    </row>
    <row r="260" spans="1:5" x14ac:dyDescent="0.25">
      <c r="A260" t="s">
        <v>550</v>
      </c>
      <c r="B260" s="40">
        <v>500</v>
      </c>
      <c r="D260" t="s">
        <v>550</v>
      </c>
      <c r="E260" s="40">
        <v>500</v>
      </c>
    </row>
    <row r="261" spans="1:5" x14ac:dyDescent="0.25">
      <c r="A261" t="s">
        <v>551</v>
      </c>
      <c r="B261" s="40">
        <v>900</v>
      </c>
      <c r="D261" t="s">
        <v>551</v>
      </c>
      <c r="E261" s="40">
        <v>900</v>
      </c>
    </row>
    <row r="262" spans="1:5" x14ac:dyDescent="0.25">
      <c r="A262" t="s">
        <v>552</v>
      </c>
      <c r="B262" s="40">
        <v>3900</v>
      </c>
      <c r="D262" t="s">
        <v>552</v>
      </c>
      <c r="E262" s="40">
        <v>3900</v>
      </c>
    </row>
    <row r="263" spans="1:5" x14ac:dyDescent="0.25">
      <c r="A263" t="s">
        <v>553</v>
      </c>
      <c r="B263" s="40">
        <v>5200</v>
      </c>
      <c r="D263" t="s">
        <v>553</v>
      </c>
      <c r="E263" s="40">
        <v>5200</v>
      </c>
    </row>
    <row r="264" spans="1:5" x14ac:dyDescent="0.25">
      <c r="A264" t="s">
        <v>584</v>
      </c>
      <c r="B264" s="40">
        <v>3000</v>
      </c>
      <c r="D264" t="s">
        <v>584</v>
      </c>
      <c r="E264" s="40">
        <v>3000</v>
      </c>
    </row>
    <row r="265" spans="1:5" x14ac:dyDescent="0.25">
      <c r="A265" t="s">
        <v>569</v>
      </c>
      <c r="B265" s="40">
        <v>3400</v>
      </c>
      <c r="D265" t="s">
        <v>569</v>
      </c>
      <c r="E265" s="40">
        <v>3400</v>
      </c>
    </row>
    <row r="266" spans="1:5" x14ac:dyDescent="0.25">
      <c r="A266" t="s">
        <v>570</v>
      </c>
      <c r="B266" s="40">
        <v>4600</v>
      </c>
      <c r="D266" t="s">
        <v>570</v>
      </c>
      <c r="E266" s="40">
        <v>4600</v>
      </c>
    </row>
    <row r="267" spans="1:5" x14ac:dyDescent="0.25">
      <c r="A267" t="s">
        <v>571</v>
      </c>
      <c r="B267" s="40">
        <v>3400</v>
      </c>
      <c r="D267" t="s">
        <v>571</v>
      </c>
      <c r="E267" s="40">
        <v>3400</v>
      </c>
    </row>
    <row r="268" spans="1:5" x14ac:dyDescent="0.25">
      <c r="A268" t="s">
        <v>572</v>
      </c>
      <c r="B268" s="40">
        <v>4600</v>
      </c>
      <c r="D268" t="s">
        <v>572</v>
      </c>
      <c r="E268" s="40">
        <v>4600</v>
      </c>
    </row>
    <row r="269" spans="1:5" x14ac:dyDescent="0.25">
      <c r="A269" t="s">
        <v>573</v>
      </c>
      <c r="B269" s="40">
        <v>3600</v>
      </c>
      <c r="D269" t="s">
        <v>573</v>
      </c>
      <c r="E269" s="40">
        <v>3600</v>
      </c>
    </row>
    <row r="270" spans="1:5" x14ac:dyDescent="0.25">
      <c r="A270" t="s">
        <v>574</v>
      </c>
      <c r="B270" s="40">
        <v>4800</v>
      </c>
      <c r="D270" t="s">
        <v>574</v>
      </c>
      <c r="E270" s="40">
        <v>4800</v>
      </c>
    </row>
    <row r="271" spans="1:5" x14ac:dyDescent="0.25">
      <c r="A271" t="s">
        <v>575</v>
      </c>
      <c r="B271" s="40">
        <v>3900</v>
      </c>
      <c r="D271" t="s">
        <v>575</v>
      </c>
      <c r="E271" s="40">
        <v>3900</v>
      </c>
    </row>
    <row r="272" spans="1:5" x14ac:dyDescent="0.25">
      <c r="A272" t="s">
        <v>576</v>
      </c>
      <c r="B272" s="40">
        <v>5200</v>
      </c>
      <c r="D272" t="s">
        <v>576</v>
      </c>
      <c r="E272" s="40">
        <v>5200</v>
      </c>
    </row>
    <row r="273" spans="1:5" x14ac:dyDescent="0.25">
      <c r="A273" t="s">
        <v>577</v>
      </c>
      <c r="B273" s="40">
        <v>5000</v>
      </c>
      <c r="D273" t="s">
        <v>577</v>
      </c>
      <c r="E273" s="40">
        <v>5000</v>
      </c>
    </row>
    <row r="274" spans="1:5" x14ac:dyDescent="0.25">
      <c r="A274" t="s">
        <v>578</v>
      </c>
      <c r="B274" s="40">
        <v>6200</v>
      </c>
      <c r="D274" t="s">
        <v>578</v>
      </c>
      <c r="E274" s="40">
        <v>6200</v>
      </c>
    </row>
    <row r="275" spans="1:5" x14ac:dyDescent="0.25">
      <c r="A275" t="s">
        <v>579</v>
      </c>
      <c r="B275" s="40">
        <v>5500</v>
      </c>
      <c r="D275" t="s">
        <v>579</v>
      </c>
      <c r="E275" s="40">
        <v>5500</v>
      </c>
    </row>
    <row r="276" spans="1:5" x14ac:dyDescent="0.25">
      <c r="A276" t="s">
        <v>580</v>
      </c>
      <c r="B276" s="40">
        <v>7200</v>
      </c>
      <c r="D276" t="s">
        <v>580</v>
      </c>
      <c r="E276" s="40">
        <v>7200</v>
      </c>
    </row>
    <row r="277" spans="1:5" x14ac:dyDescent="0.25">
      <c r="A277" t="s">
        <v>601</v>
      </c>
      <c r="B277" s="40">
        <v>6500</v>
      </c>
      <c r="D277" t="s">
        <v>601</v>
      </c>
      <c r="E277" s="40">
        <v>6500</v>
      </c>
    </row>
    <row r="278" spans="1:5" x14ac:dyDescent="0.25">
      <c r="A278" t="s">
        <v>602</v>
      </c>
      <c r="B278" s="40">
        <v>7000</v>
      </c>
      <c r="D278" t="s">
        <v>602</v>
      </c>
      <c r="E278" s="40">
        <v>7000</v>
      </c>
    </row>
    <row r="279" spans="1:5" x14ac:dyDescent="0.25">
      <c r="A279" t="s">
        <v>603</v>
      </c>
      <c r="B279" s="40">
        <v>7500</v>
      </c>
      <c r="D279" t="s">
        <v>603</v>
      </c>
      <c r="E279" s="40">
        <v>7500</v>
      </c>
    </row>
    <row r="280" spans="1:5" x14ac:dyDescent="0.25">
      <c r="A280" t="s">
        <v>604</v>
      </c>
      <c r="B280" s="40">
        <v>8500</v>
      </c>
      <c r="D280" t="s">
        <v>604</v>
      </c>
      <c r="E280" s="40">
        <v>8500</v>
      </c>
    </row>
    <row r="281" spans="1:5" x14ac:dyDescent="0.25">
      <c r="A281" t="s">
        <v>605</v>
      </c>
      <c r="B281" s="40">
        <v>9000</v>
      </c>
      <c r="D281" t="s">
        <v>605</v>
      </c>
      <c r="E281" s="40">
        <v>9000</v>
      </c>
    </row>
    <row r="282" spans="1:5" x14ac:dyDescent="0.25">
      <c r="A282" t="s">
        <v>606</v>
      </c>
      <c r="B282" s="40">
        <v>12000</v>
      </c>
      <c r="D282" t="s">
        <v>606</v>
      </c>
      <c r="E282" s="40">
        <v>12000</v>
      </c>
    </row>
    <row r="283" spans="1:5" x14ac:dyDescent="0.25">
      <c r="A283" t="s">
        <v>607</v>
      </c>
      <c r="B283" s="40">
        <v>3500</v>
      </c>
      <c r="D283" t="s">
        <v>607</v>
      </c>
      <c r="E283" s="40">
        <v>3500</v>
      </c>
    </row>
    <row r="284" spans="1:5" x14ac:dyDescent="0.25">
      <c r="A284" t="s">
        <v>630</v>
      </c>
      <c r="B284" s="40">
        <v>5600</v>
      </c>
      <c r="D284" t="s">
        <v>630</v>
      </c>
      <c r="E284" s="40">
        <v>5600</v>
      </c>
    </row>
    <row r="285" spans="1:5" x14ac:dyDescent="0.25">
      <c r="A285" t="s">
        <v>631</v>
      </c>
      <c r="B285" s="40">
        <v>6800</v>
      </c>
      <c r="D285" t="s">
        <v>631</v>
      </c>
      <c r="E285" s="40">
        <v>6800</v>
      </c>
    </row>
    <row r="286" spans="1:5" x14ac:dyDescent="0.25">
      <c r="A286" t="s">
        <v>632</v>
      </c>
      <c r="B286" s="40">
        <v>600</v>
      </c>
      <c r="D286" t="s">
        <v>632</v>
      </c>
      <c r="E286" s="40">
        <v>600</v>
      </c>
    </row>
    <row r="287" spans="1:5" x14ac:dyDescent="0.25">
      <c r="A287" t="s">
        <v>633</v>
      </c>
      <c r="B287" s="40">
        <v>1000</v>
      </c>
      <c r="D287" t="s">
        <v>633</v>
      </c>
      <c r="E287" s="40">
        <v>1000</v>
      </c>
    </row>
    <row r="288" spans="1:5" x14ac:dyDescent="0.25">
      <c r="A288" t="s">
        <v>634</v>
      </c>
      <c r="B288" s="40">
        <v>500</v>
      </c>
      <c r="D288" t="s">
        <v>634</v>
      </c>
      <c r="E288" s="40">
        <v>500</v>
      </c>
    </row>
    <row r="289" spans="1:5" x14ac:dyDescent="0.25">
      <c r="A289" t="s">
        <v>635</v>
      </c>
      <c r="B289" s="40">
        <v>900</v>
      </c>
      <c r="D289" t="s">
        <v>635</v>
      </c>
      <c r="E289" s="40">
        <v>900</v>
      </c>
    </row>
    <row r="290" spans="1:5" x14ac:dyDescent="0.25">
      <c r="A290" t="s">
        <v>636</v>
      </c>
      <c r="B290" s="40">
        <v>6250</v>
      </c>
      <c r="D290" t="s">
        <v>636</v>
      </c>
      <c r="E290" s="40">
        <v>6250</v>
      </c>
    </row>
    <row r="291" spans="1:5" x14ac:dyDescent="0.25">
      <c r="A291" t="s">
        <v>637</v>
      </c>
      <c r="B291" s="40">
        <v>7050</v>
      </c>
      <c r="D291" t="s">
        <v>637</v>
      </c>
      <c r="E291" s="40">
        <v>7050</v>
      </c>
    </row>
    <row r="292" spans="1:5" x14ac:dyDescent="0.25">
      <c r="A292" t="s">
        <v>638</v>
      </c>
      <c r="B292" s="40">
        <v>6750</v>
      </c>
      <c r="D292" t="s">
        <v>638</v>
      </c>
      <c r="E292" s="40">
        <v>6750</v>
      </c>
    </row>
    <row r="293" spans="1:5" x14ac:dyDescent="0.25">
      <c r="A293" t="s">
        <v>639</v>
      </c>
      <c r="B293" s="40">
        <v>7550</v>
      </c>
      <c r="D293" t="s">
        <v>639</v>
      </c>
      <c r="E293" s="40">
        <v>7550</v>
      </c>
    </row>
    <row r="294" spans="1:5" x14ac:dyDescent="0.25">
      <c r="A294" t="s">
        <v>640</v>
      </c>
      <c r="B294" s="40">
        <v>10000</v>
      </c>
      <c r="D294" t="s">
        <v>640</v>
      </c>
      <c r="E294" s="40">
        <v>10000</v>
      </c>
    </row>
    <row r="295" spans="1:5" x14ac:dyDescent="0.25">
      <c r="A295" t="s">
        <v>641</v>
      </c>
      <c r="B295" s="40">
        <v>10800</v>
      </c>
      <c r="D295" t="s">
        <v>641</v>
      </c>
      <c r="E295" s="40">
        <v>10800</v>
      </c>
    </row>
    <row r="296" spans="1:5" x14ac:dyDescent="0.25">
      <c r="A296" t="s">
        <v>642</v>
      </c>
      <c r="B296" s="40">
        <v>12500</v>
      </c>
      <c r="D296" t="s">
        <v>642</v>
      </c>
      <c r="E296" s="40">
        <v>12500</v>
      </c>
    </row>
    <row r="297" spans="1:5" x14ac:dyDescent="0.25">
      <c r="A297" t="s">
        <v>643</v>
      </c>
      <c r="B297" s="40">
        <v>13300</v>
      </c>
      <c r="D297" t="s">
        <v>643</v>
      </c>
      <c r="E297" s="40">
        <v>13300</v>
      </c>
    </row>
    <row r="298" spans="1:5" x14ac:dyDescent="0.25">
      <c r="A298" t="s">
        <v>644</v>
      </c>
      <c r="B298" s="40">
        <v>1750</v>
      </c>
      <c r="D298" t="s">
        <v>644</v>
      </c>
      <c r="E298" s="40">
        <v>1750</v>
      </c>
    </row>
    <row r="299" spans="1:5" x14ac:dyDescent="0.25">
      <c r="A299" t="s">
        <v>645</v>
      </c>
      <c r="B299" s="40">
        <v>2350</v>
      </c>
      <c r="D299" t="s">
        <v>645</v>
      </c>
      <c r="E299" s="40">
        <v>2350</v>
      </c>
    </row>
    <row r="300" spans="1:5" x14ac:dyDescent="0.25">
      <c r="A300" t="s">
        <v>646</v>
      </c>
      <c r="B300" s="40">
        <v>1250</v>
      </c>
      <c r="D300" t="s">
        <v>646</v>
      </c>
      <c r="E300" s="40">
        <v>1250</v>
      </c>
    </row>
    <row r="301" spans="1:5" x14ac:dyDescent="0.25">
      <c r="A301" t="s">
        <v>647</v>
      </c>
      <c r="B301" s="40">
        <v>1850</v>
      </c>
      <c r="D301" t="s">
        <v>647</v>
      </c>
      <c r="E301" s="40">
        <v>1850</v>
      </c>
    </row>
    <row r="302" spans="1:5" x14ac:dyDescent="0.25">
      <c r="A302" t="s">
        <v>648</v>
      </c>
      <c r="B302" s="40">
        <v>750</v>
      </c>
      <c r="D302" t="s">
        <v>648</v>
      </c>
      <c r="E302" s="40">
        <v>750</v>
      </c>
    </row>
    <row r="303" spans="1:5" x14ac:dyDescent="0.25">
      <c r="A303" t="s">
        <v>649</v>
      </c>
      <c r="B303" s="40">
        <v>1350</v>
      </c>
      <c r="D303" t="s">
        <v>649</v>
      </c>
      <c r="E303" s="40">
        <v>1350</v>
      </c>
    </row>
    <row r="304" spans="1:5" x14ac:dyDescent="0.25">
      <c r="A304" t="s">
        <v>691</v>
      </c>
      <c r="B304" s="40">
        <v>3100</v>
      </c>
      <c r="D304" t="s">
        <v>691</v>
      </c>
      <c r="E304" s="40">
        <v>3100</v>
      </c>
    </row>
    <row r="305" spans="1:5" x14ac:dyDescent="0.25">
      <c r="A305" t="s">
        <v>692</v>
      </c>
      <c r="B305" s="40">
        <v>4300</v>
      </c>
      <c r="D305" t="s">
        <v>692</v>
      </c>
      <c r="E305" s="40">
        <v>4300</v>
      </c>
    </row>
    <row r="306" spans="1:5" x14ac:dyDescent="0.25">
      <c r="A306" t="s">
        <v>693</v>
      </c>
      <c r="B306" s="40">
        <v>3400</v>
      </c>
      <c r="D306" t="s">
        <v>693</v>
      </c>
      <c r="E306" s="40">
        <v>3400</v>
      </c>
    </row>
    <row r="307" spans="1:5" x14ac:dyDescent="0.25">
      <c r="A307" t="s">
        <v>694</v>
      </c>
      <c r="B307" s="40">
        <v>4600</v>
      </c>
      <c r="D307" t="s">
        <v>694</v>
      </c>
      <c r="E307" s="40">
        <v>4600</v>
      </c>
    </row>
    <row r="308" spans="1:5" x14ac:dyDescent="0.25">
      <c r="A308" t="s">
        <v>695</v>
      </c>
      <c r="B308" s="40">
        <v>3500</v>
      </c>
      <c r="D308" t="s">
        <v>695</v>
      </c>
      <c r="E308" s="40">
        <v>3500</v>
      </c>
    </row>
    <row r="309" spans="1:5" x14ac:dyDescent="0.25">
      <c r="A309" t="s">
        <v>696</v>
      </c>
      <c r="B309" s="40">
        <v>4700</v>
      </c>
      <c r="D309" t="s">
        <v>696</v>
      </c>
      <c r="E309" s="40">
        <v>4700</v>
      </c>
    </row>
    <row r="310" spans="1:5" x14ac:dyDescent="0.25">
      <c r="A310" t="s">
        <v>697</v>
      </c>
      <c r="B310" s="40">
        <v>5900</v>
      </c>
      <c r="D310" t="s">
        <v>697</v>
      </c>
      <c r="E310" s="40">
        <v>5900</v>
      </c>
    </row>
    <row r="311" spans="1:5" x14ac:dyDescent="0.25">
      <c r="A311" t="s">
        <v>698</v>
      </c>
      <c r="B311" s="40">
        <v>7100</v>
      </c>
      <c r="D311" t="s">
        <v>698</v>
      </c>
      <c r="E311" s="40">
        <v>7100</v>
      </c>
    </row>
    <row r="312" spans="1:5" x14ac:dyDescent="0.25">
      <c r="A312" t="s">
        <v>699</v>
      </c>
      <c r="B312" s="40">
        <v>6900</v>
      </c>
      <c r="D312" t="s">
        <v>699</v>
      </c>
      <c r="E312" s="40">
        <v>6900</v>
      </c>
    </row>
    <row r="313" spans="1:5" x14ac:dyDescent="0.25">
      <c r="A313" t="s">
        <v>700</v>
      </c>
      <c r="B313" s="40">
        <v>8100</v>
      </c>
      <c r="D313" t="s">
        <v>700</v>
      </c>
      <c r="E313" s="40">
        <v>8100</v>
      </c>
    </row>
    <row r="314" spans="1:5" x14ac:dyDescent="0.25">
      <c r="A314" t="s">
        <v>701</v>
      </c>
      <c r="B314" s="40">
        <v>800</v>
      </c>
      <c r="D314" t="s">
        <v>701</v>
      </c>
      <c r="E314" s="40">
        <v>800</v>
      </c>
    </row>
    <row r="315" spans="1:5" x14ac:dyDescent="0.25">
      <c r="A315" t="s">
        <v>702</v>
      </c>
      <c r="B315" s="40">
        <v>1200</v>
      </c>
      <c r="D315" t="s">
        <v>702</v>
      </c>
      <c r="E315" s="40">
        <v>1200</v>
      </c>
    </row>
    <row r="316" spans="1:5" x14ac:dyDescent="0.25">
      <c r="A316" t="s">
        <v>703</v>
      </c>
      <c r="B316" s="40">
        <v>600</v>
      </c>
      <c r="D316" t="s">
        <v>703</v>
      </c>
      <c r="E316" s="40">
        <v>600</v>
      </c>
    </row>
    <row r="317" spans="1:5" x14ac:dyDescent="0.25">
      <c r="A317" t="s">
        <v>704</v>
      </c>
      <c r="B317" s="40">
        <v>1000</v>
      </c>
      <c r="D317" t="s">
        <v>704</v>
      </c>
      <c r="E317" s="40">
        <v>1000</v>
      </c>
    </row>
    <row r="318" spans="1:5" x14ac:dyDescent="0.25">
      <c r="A318" t="s">
        <v>705</v>
      </c>
      <c r="B318" s="40">
        <v>500</v>
      </c>
      <c r="D318" t="s">
        <v>705</v>
      </c>
      <c r="E318" s="40">
        <v>500</v>
      </c>
    </row>
    <row r="319" spans="1:5" x14ac:dyDescent="0.25">
      <c r="A319" t="s">
        <v>706</v>
      </c>
      <c r="B319" s="40">
        <v>900</v>
      </c>
      <c r="D319" t="s">
        <v>706</v>
      </c>
      <c r="E319" s="40">
        <v>900</v>
      </c>
    </row>
    <row r="320" spans="1:5" x14ac:dyDescent="0.25">
      <c r="A320" t="s">
        <v>707</v>
      </c>
      <c r="B320" s="40">
        <v>600</v>
      </c>
      <c r="D320" t="s">
        <v>707</v>
      </c>
      <c r="E320" s="40">
        <v>600</v>
      </c>
    </row>
    <row r="321" spans="1:5" x14ac:dyDescent="0.25">
      <c r="A321" t="s">
        <v>708</v>
      </c>
      <c r="B321" s="40">
        <v>1000</v>
      </c>
      <c r="D321" t="s">
        <v>708</v>
      </c>
      <c r="E321" s="40">
        <v>1000</v>
      </c>
    </row>
    <row r="322" spans="1:5" x14ac:dyDescent="0.25">
      <c r="A322" t="s">
        <v>709</v>
      </c>
      <c r="B322" s="40">
        <v>500</v>
      </c>
      <c r="D322" t="s">
        <v>709</v>
      </c>
      <c r="E322" s="40">
        <v>500</v>
      </c>
    </row>
    <row r="323" spans="1:5" x14ac:dyDescent="0.25">
      <c r="A323" t="s">
        <v>710</v>
      </c>
      <c r="B323" s="40">
        <v>900</v>
      </c>
      <c r="D323" t="s">
        <v>710</v>
      </c>
      <c r="E323" s="40">
        <v>900</v>
      </c>
    </row>
    <row r="324" spans="1:5" x14ac:dyDescent="0.25">
      <c r="A324" t="s">
        <v>711</v>
      </c>
      <c r="B324" s="40">
        <v>800</v>
      </c>
      <c r="D324" t="s">
        <v>711</v>
      </c>
      <c r="E324" s="40">
        <v>800</v>
      </c>
    </row>
    <row r="325" spans="1:5" x14ac:dyDescent="0.25">
      <c r="A325" t="s">
        <v>712</v>
      </c>
      <c r="B325" s="40">
        <v>1200</v>
      </c>
      <c r="D325" t="s">
        <v>712</v>
      </c>
      <c r="E325" s="40">
        <v>1200</v>
      </c>
    </row>
    <row r="326" spans="1:5" x14ac:dyDescent="0.25">
      <c r="A326" t="s">
        <v>713</v>
      </c>
      <c r="B326" s="40">
        <v>600</v>
      </c>
      <c r="D326" t="s">
        <v>713</v>
      </c>
      <c r="E326" s="40">
        <v>600</v>
      </c>
    </row>
    <row r="327" spans="1:5" x14ac:dyDescent="0.25">
      <c r="A327" t="s">
        <v>714</v>
      </c>
      <c r="B327" s="40">
        <v>1000</v>
      </c>
      <c r="D327" t="s">
        <v>714</v>
      </c>
      <c r="E327" s="40">
        <v>1000</v>
      </c>
    </row>
    <row r="328" spans="1:5" x14ac:dyDescent="0.25">
      <c r="A328" t="s">
        <v>715</v>
      </c>
      <c r="B328" s="40">
        <v>500</v>
      </c>
      <c r="D328" t="s">
        <v>715</v>
      </c>
      <c r="E328" s="40">
        <v>500</v>
      </c>
    </row>
    <row r="329" spans="1:5" x14ac:dyDescent="0.25">
      <c r="A329" t="s">
        <v>716</v>
      </c>
      <c r="B329" s="40">
        <v>900</v>
      </c>
      <c r="D329" t="s">
        <v>716</v>
      </c>
      <c r="E329" s="40">
        <v>900</v>
      </c>
    </row>
    <row r="330" spans="1:5" x14ac:dyDescent="0.25">
      <c r="A330" t="s">
        <v>717</v>
      </c>
      <c r="B330" s="40">
        <v>600</v>
      </c>
      <c r="D330" t="s">
        <v>717</v>
      </c>
      <c r="E330" s="40">
        <v>600</v>
      </c>
    </row>
    <row r="331" spans="1:5" x14ac:dyDescent="0.25">
      <c r="A331" t="s">
        <v>718</v>
      </c>
      <c r="B331" s="40">
        <v>1250</v>
      </c>
      <c r="D331" t="s">
        <v>718</v>
      </c>
      <c r="E331" s="40">
        <v>1250</v>
      </c>
    </row>
    <row r="332" spans="1:5" x14ac:dyDescent="0.25">
      <c r="A332" t="s">
        <v>719</v>
      </c>
      <c r="B332" s="40">
        <v>500</v>
      </c>
      <c r="D332" t="s">
        <v>719</v>
      </c>
      <c r="E332" s="40">
        <v>500</v>
      </c>
    </row>
    <row r="333" spans="1:5" x14ac:dyDescent="0.25">
      <c r="A333" t="s">
        <v>720</v>
      </c>
      <c r="B333" s="40">
        <v>1150</v>
      </c>
      <c r="D333" t="s">
        <v>720</v>
      </c>
      <c r="E333" s="40">
        <v>1150</v>
      </c>
    </row>
    <row r="334" spans="1:5" x14ac:dyDescent="0.25">
      <c r="A334" t="s">
        <v>721</v>
      </c>
      <c r="B334" s="40">
        <v>3800</v>
      </c>
      <c r="D334" t="s">
        <v>721</v>
      </c>
      <c r="E334" s="40">
        <v>3800</v>
      </c>
    </row>
    <row r="335" spans="1:5" x14ac:dyDescent="0.25">
      <c r="A335" t="s">
        <v>722</v>
      </c>
      <c r="B335" s="40">
        <v>5100</v>
      </c>
      <c r="D335" t="s">
        <v>722</v>
      </c>
      <c r="E335" s="40">
        <v>5100</v>
      </c>
    </row>
    <row r="336" spans="1:5" x14ac:dyDescent="0.25">
      <c r="A336" t="s">
        <v>723</v>
      </c>
      <c r="B336" s="40">
        <v>3800</v>
      </c>
      <c r="D336" t="s">
        <v>723</v>
      </c>
      <c r="E336" s="40">
        <v>3800</v>
      </c>
    </row>
    <row r="337" spans="1:5" x14ac:dyDescent="0.25">
      <c r="A337" t="s">
        <v>724</v>
      </c>
      <c r="B337" s="40">
        <v>5100</v>
      </c>
      <c r="D337" t="s">
        <v>724</v>
      </c>
      <c r="E337" s="40">
        <v>5100</v>
      </c>
    </row>
    <row r="338" spans="1:5" x14ac:dyDescent="0.25">
      <c r="A338" t="s">
        <v>725</v>
      </c>
      <c r="B338" s="40">
        <v>5800</v>
      </c>
      <c r="D338" t="s">
        <v>725</v>
      </c>
      <c r="E338" s="40">
        <v>5800</v>
      </c>
    </row>
    <row r="339" spans="1:5" x14ac:dyDescent="0.25">
      <c r="A339" t="s">
        <v>726</v>
      </c>
      <c r="B339" s="40">
        <v>7100</v>
      </c>
      <c r="D339" t="s">
        <v>726</v>
      </c>
      <c r="E339" s="40">
        <v>7100</v>
      </c>
    </row>
    <row r="340" spans="1:5" x14ac:dyDescent="0.25">
      <c r="A340" t="s">
        <v>727</v>
      </c>
      <c r="B340" s="40">
        <v>5300</v>
      </c>
      <c r="D340" t="s">
        <v>727</v>
      </c>
      <c r="E340" s="40">
        <v>5300</v>
      </c>
    </row>
    <row r="341" spans="1:5" x14ac:dyDescent="0.25">
      <c r="A341" t="s">
        <v>728</v>
      </c>
      <c r="B341" s="40">
        <v>6600</v>
      </c>
      <c r="D341" t="s">
        <v>728</v>
      </c>
      <c r="E341" s="40">
        <v>6600</v>
      </c>
    </row>
    <row r="342" spans="1:5" x14ac:dyDescent="0.25">
      <c r="A342" t="s">
        <v>729</v>
      </c>
      <c r="B342" s="40">
        <v>8300</v>
      </c>
      <c r="D342" t="s">
        <v>729</v>
      </c>
      <c r="E342" s="40">
        <v>8300</v>
      </c>
    </row>
    <row r="343" spans="1:5" x14ac:dyDescent="0.25">
      <c r="A343" t="s">
        <v>730</v>
      </c>
      <c r="B343" s="40">
        <v>9600</v>
      </c>
      <c r="D343" t="s">
        <v>730</v>
      </c>
      <c r="E343" s="40">
        <v>9600</v>
      </c>
    </row>
    <row r="344" spans="1:5" x14ac:dyDescent="0.25">
      <c r="A344" t="s">
        <v>731</v>
      </c>
      <c r="B344" s="40">
        <v>9300</v>
      </c>
      <c r="D344" t="s">
        <v>731</v>
      </c>
      <c r="E344" s="40">
        <v>9300</v>
      </c>
    </row>
    <row r="345" spans="1:5" x14ac:dyDescent="0.25">
      <c r="A345" t="s">
        <v>732</v>
      </c>
      <c r="B345" s="40">
        <v>10600</v>
      </c>
      <c r="D345" t="s">
        <v>732</v>
      </c>
      <c r="E345" s="40">
        <v>10600</v>
      </c>
    </row>
    <row r="346" spans="1:5" x14ac:dyDescent="0.25">
      <c r="A346" t="s">
        <v>733</v>
      </c>
      <c r="B346" s="40">
        <v>800</v>
      </c>
      <c r="D346" t="s">
        <v>733</v>
      </c>
      <c r="E346" s="40">
        <v>800</v>
      </c>
    </row>
    <row r="347" spans="1:5" x14ac:dyDescent="0.25">
      <c r="A347" t="s">
        <v>734</v>
      </c>
      <c r="B347" s="40">
        <v>1250</v>
      </c>
      <c r="D347" t="s">
        <v>734</v>
      </c>
      <c r="E347" s="40">
        <v>1250</v>
      </c>
    </row>
    <row r="348" spans="1:5" x14ac:dyDescent="0.25">
      <c r="A348" t="s">
        <v>735</v>
      </c>
      <c r="B348" s="40">
        <v>600</v>
      </c>
      <c r="D348" t="s">
        <v>735</v>
      </c>
      <c r="E348" s="40">
        <v>600</v>
      </c>
    </row>
    <row r="349" spans="1:5" x14ac:dyDescent="0.25">
      <c r="A349" t="s">
        <v>736</v>
      </c>
      <c r="B349" s="40">
        <v>1050</v>
      </c>
      <c r="D349" t="s">
        <v>736</v>
      </c>
      <c r="E349" s="40">
        <v>1050</v>
      </c>
    </row>
    <row r="350" spans="1:5" x14ac:dyDescent="0.25">
      <c r="A350" t="s">
        <v>737</v>
      </c>
      <c r="B350" s="40">
        <v>400</v>
      </c>
      <c r="D350" t="s">
        <v>737</v>
      </c>
      <c r="E350" s="40">
        <v>400</v>
      </c>
    </row>
    <row r="351" spans="1:5" x14ac:dyDescent="0.25">
      <c r="A351" t="s">
        <v>738</v>
      </c>
      <c r="B351" s="40">
        <v>850</v>
      </c>
      <c r="D351" t="s">
        <v>738</v>
      </c>
      <c r="E351" s="40">
        <v>850</v>
      </c>
    </row>
    <row r="352" spans="1:5" x14ac:dyDescent="0.25">
      <c r="A352" t="s">
        <v>763</v>
      </c>
      <c r="B352" s="40">
        <v>3400</v>
      </c>
      <c r="D352" t="s">
        <v>763</v>
      </c>
      <c r="E352" s="40">
        <v>3400</v>
      </c>
    </row>
    <row r="353" spans="1:5" x14ac:dyDescent="0.25">
      <c r="A353" t="s">
        <v>764</v>
      </c>
      <c r="B353" s="40">
        <v>4700</v>
      </c>
      <c r="D353" t="s">
        <v>764</v>
      </c>
      <c r="E353" s="40">
        <v>4700</v>
      </c>
    </row>
    <row r="354" spans="1:5" x14ac:dyDescent="0.25">
      <c r="A354" t="s">
        <v>765</v>
      </c>
      <c r="B354" s="40">
        <v>600</v>
      </c>
      <c r="D354" t="s">
        <v>765</v>
      </c>
      <c r="E354" s="40">
        <v>600</v>
      </c>
    </row>
    <row r="355" spans="1:5" x14ac:dyDescent="0.25">
      <c r="A355" t="s">
        <v>766</v>
      </c>
      <c r="B355" s="40">
        <v>1000</v>
      </c>
      <c r="D355" t="s">
        <v>766</v>
      </c>
      <c r="E355" s="40">
        <v>1000</v>
      </c>
    </row>
    <row r="356" spans="1:5" x14ac:dyDescent="0.25">
      <c r="A356" t="s">
        <v>767</v>
      </c>
      <c r="B356" s="40">
        <v>500</v>
      </c>
      <c r="D356" t="s">
        <v>767</v>
      </c>
      <c r="E356" s="40">
        <v>500</v>
      </c>
    </row>
    <row r="357" spans="1:5" x14ac:dyDescent="0.25">
      <c r="A357" t="s">
        <v>768</v>
      </c>
      <c r="B357" s="40">
        <v>900</v>
      </c>
      <c r="D357" t="s">
        <v>768</v>
      </c>
      <c r="E357" s="40">
        <v>900</v>
      </c>
    </row>
    <row r="358" spans="1:5" x14ac:dyDescent="0.25">
      <c r="A358" t="s">
        <v>769</v>
      </c>
      <c r="B358" s="40">
        <v>6000</v>
      </c>
      <c r="D358" t="s">
        <v>769</v>
      </c>
      <c r="E358" s="40">
        <v>6000</v>
      </c>
    </row>
    <row r="359" spans="1:5" x14ac:dyDescent="0.25">
      <c r="A359" t="s">
        <v>770</v>
      </c>
      <c r="B359" s="40">
        <v>7300</v>
      </c>
      <c r="D359" t="s">
        <v>770</v>
      </c>
      <c r="E359" s="40">
        <v>7300</v>
      </c>
    </row>
    <row r="360" spans="1:5" x14ac:dyDescent="0.25">
      <c r="A360" t="s">
        <v>771</v>
      </c>
      <c r="B360" s="40">
        <v>7000</v>
      </c>
      <c r="D360" t="s">
        <v>771</v>
      </c>
      <c r="E360" s="40">
        <v>7000</v>
      </c>
    </row>
    <row r="361" spans="1:5" x14ac:dyDescent="0.25">
      <c r="A361" t="s">
        <v>772</v>
      </c>
      <c r="B361" s="40">
        <v>8300</v>
      </c>
      <c r="D361" t="s">
        <v>772</v>
      </c>
      <c r="E361" s="40">
        <v>8300</v>
      </c>
    </row>
    <row r="362" spans="1:5" x14ac:dyDescent="0.25">
      <c r="A362" t="s">
        <v>773</v>
      </c>
      <c r="B362" s="40">
        <v>8000</v>
      </c>
      <c r="D362" t="s">
        <v>773</v>
      </c>
      <c r="E362" s="40">
        <v>8000</v>
      </c>
    </row>
    <row r="363" spans="1:5" x14ac:dyDescent="0.25">
      <c r="A363" t="s">
        <v>774</v>
      </c>
      <c r="B363" s="40">
        <v>9300</v>
      </c>
      <c r="D363" t="s">
        <v>774</v>
      </c>
      <c r="E363" s="40">
        <v>9300</v>
      </c>
    </row>
    <row r="364" spans="1:5" x14ac:dyDescent="0.25">
      <c r="A364" t="s">
        <v>775</v>
      </c>
      <c r="B364" s="40">
        <v>9000</v>
      </c>
      <c r="D364" t="s">
        <v>775</v>
      </c>
      <c r="E364" s="40">
        <v>9000</v>
      </c>
    </row>
    <row r="365" spans="1:5" x14ac:dyDescent="0.25">
      <c r="A365" t="s">
        <v>776</v>
      </c>
      <c r="B365" s="40">
        <v>10300</v>
      </c>
      <c r="D365" t="s">
        <v>776</v>
      </c>
      <c r="E365" s="40">
        <v>10300</v>
      </c>
    </row>
    <row r="366" spans="1:5" x14ac:dyDescent="0.25">
      <c r="A366" t="s">
        <v>777</v>
      </c>
      <c r="B366" s="40">
        <v>10000</v>
      </c>
      <c r="D366" t="s">
        <v>777</v>
      </c>
      <c r="E366" s="40">
        <v>10000</v>
      </c>
    </row>
    <row r="367" spans="1:5" x14ac:dyDescent="0.25">
      <c r="A367" t="s">
        <v>778</v>
      </c>
      <c r="B367" s="40">
        <v>11300</v>
      </c>
      <c r="D367" t="s">
        <v>778</v>
      </c>
      <c r="E367" s="40">
        <v>11300</v>
      </c>
    </row>
    <row r="368" spans="1:5" x14ac:dyDescent="0.25">
      <c r="A368" t="s">
        <v>779</v>
      </c>
      <c r="B368" s="40">
        <v>11000</v>
      </c>
      <c r="D368" t="s">
        <v>779</v>
      </c>
      <c r="E368" s="40">
        <v>11000</v>
      </c>
    </row>
    <row r="369" spans="1:5" x14ac:dyDescent="0.25">
      <c r="A369" t="s">
        <v>780</v>
      </c>
      <c r="B369" s="40">
        <v>12300</v>
      </c>
      <c r="D369" t="s">
        <v>780</v>
      </c>
      <c r="E369" s="40">
        <v>12300</v>
      </c>
    </row>
    <row r="370" spans="1:5" x14ac:dyDescent="0.25">
      <c r="A370" t="s">
        <v>781</v>
      </c>
      <c r="B370" s="40">
        <v>13000</v>
      </c>
      <c r="D370" t="s">
        <v>781</v>
      </c>
      <c r="E370" s="40">
        <v>13000</v>
      </c>
    </row>
    <row r="371" spans="1:5" x14ac:dyDescent="0.25">
      <c r="A371" t="s">
        <v>782</v>
      </c>
      <c r="B371" s="40">
        <v>14300</v>
      </c>
      <c r="D371" t="s">
        <v>782</v>
      </c>
      <c r="E371" s="40">
        <v>14300</v>
      </c>
    </row>
    <row r="372" spans="1:5" x14ac:dyDescent="0.25">
      <c r="A372" t="s">
        <v>783</v>
      </c>
      <c r="B372" s="40">
        <v>1500</v>
      </c>
      <c r="D372" t="s">
        <v>783</v>
      </c>
      <c r="E372" s="40">
        <v>1500</v>
      </c>
    </row>
    <row r="373" spans="1:5" x14ac:dyDescent="0.25">
      <c r="A373" t="s">
        <v>784</v>
      </c>
      <c r="B373" s="40">
        <v>1950</v>
      </c>
      <c r="D373" t="s">
        <v>784</v>
      </c>
      <c r="E373" s="40">
        <v>1950</v>
      </c>
    </row>
    <row r="374" spans="1:5" x14ac:dyDescent="0.25">
      <c r="A374" t="s">
        <v>785</v>
      </c>
      <c r="B374" s="40">
        <v>1000</v>
      </c>
      <c r="D374" t="s">
        <v>785</v>
      </c>
      <c r="E374" s="40">
        <v>1000</v>
      </c>
    </row>
    <row r="375" spans="1:5" x14ac:dyDescent="0.25">
      <c r="A375" t="s">
        <v>786</v>
      </c>
      <c r="B375" s="40">
        <v>1450</v>
      </c>
      <c r="D375" t="s">
        <v>786</v>
      </c>
      <c r="E375" s="40">
        <v>1450</v>
      </c>
    </row>
    <row r="376" spans="1:5" x14ac:dyDescent="0.25">
      <c r="A376" t="s">
        <v>787</v>
      </c>
      <c r="B376" s="40">
        <v>750</v>
      </c>
      <c r="D376" t="s">
        <v>787</v>
      </c>
      <c r="E376" s="40">
        <v>750</v>
      </c>
    </row>
    <row r="377" spans="1:5" x14ac:dyDescent="0.25">
      <c r="A377" t="s">
        <v>788</v>
      </c>
      <c r="B377" s="40">
        <v>1200</v>
      </c>
      <c r="D377" t="s">
        <v>788</v>
      </c>
      <c r="E377" s="40">
        <v>1200</v>
      </c>
    </row>
    <row r="378" spans="1:5" x14ac:dyDescent="0.25">
      <c r="A378" t="s">
        <v>808</v>
      </c>
      <c r="B378" s="40">
        <v>1500</v>
      </c>
      <c r="D378" t="s">
        <v>808</v>
      </c>
      <c r="E378" s="40">
        <v>1500</v>
      </c>
    </row>
    <row r="379" spans="1:5" x14ac:dyDescent="0.25">
      <c r="A379" t="s">
        <v>809</v>
      </c>
      <c r="B379" s="40">
        <v>2900</v>
      </c>
      <c r="D379" t="s">
        <v>809</v>
      </c>
      <c r="E379" s="40">
        <v>2900</v>
      </c>
    </row>
    <row r="380" spans="1:5" x14ac:dyDescent="0.25">
      <c r="A380" t="s">
        <v>810</v>
      </c>
      <c r="B380" s="40">
        <v>2350</v>
      </c>
      <c r="D380" t="s">
        <v>810</v>
      </c>
      <c r="E380" s="40">
        <v>2350</v>
      </c>
    </row>
    <row r="381" spans="1:5" x14ac:dyDescent="0.25">
      <c r="A381" t="s">
        <v>811</v>
      </c>
      <c r="B381" s="40">
        <v>3750</v>
      </c>
      <c r="D381" t="s">
        <v>811</v>
      </c>
      <c r="E381" s="40">
        <v>3750</v>
      </c>
    </row>
    <row r="382" spans="1:5" x14ac:dyDescent="0.25">
      <c r="A382" t="s">
        <v>812</v>
      </c>
      <c r="B382" s="40">
        <v>2350</v>
      </c>
      <c r="D382" t="s">
        <v>812</v>
      </c>
      <c r="E382" s="40">
        <v>2350</v>
      </c>
    </row>
    <row r="383" spans="1:5" x14ac:dyDescent="0.25">
      <c r="A383" t="s">
        <v>813</v>
      </c>
      <c r="B383" s="40">
        <v>3750</v>
      </c>
      <c r="D383" t="s">
        <v>813</v>
      </c>
      <c r="E383" s="40">
        <v>3750</v>
      </c>
    </row>
    <row r="384" spans="1:5" x14ac:dyDescent="0.25">
      <c r="A384" t="s">
        <v>814</v>
      </c>
      <c r="B384" s="40">
        <v>3000</v>
      </c>
      <c r="D384" t="s">
        <v>814</v>
      </c>
      <c r="E384" s="40">
        <v>3000</v>
      </c>
    </row>
    <row r="385" spans="1:5" x14ac:dyDescent="0.25">
      <c r="A385" t="s">
        <v>815</v>
      </c>
      <c r="B385" s="40">
        <v>4400</v>
      </c>
      <c r="D385" t="s">
        <v>815</v>
      </c>
      <c r="E385" s="40">
        <v>4400</v>
      </c>
    </row>
    <row r="386" spans="1:5" x14ac:dyDescent="0.25">
      <c r="A386" t="s">
        <v>816</v>
      </c>
      <c r="B386" s="40">
        <v>4600</v>
      </c>
      <c r="D386" t="s">
        <v>816</v>
      </c>
      <c r="E386" s="40">
        <v>4600</v>
      </c>
    </row>
    <row r="387" spans="1:5" x14ac:dyDescent="0.25">
      <c r="A387" t="s">
        <v>817</v>
      </c>
      <c r="B387" s="40">
        <v>6000</v>
      </c>
      <c r="D387" t="s">
        <v>817</v>
      </c>
      <c r="E387" s="40">
        <v>6000</v>
      </c>
    </row>
    <row r="388" spans="1:5" x14ac:dyDescent="0.25">
      <c r="A388" t="s">
        <v>818</v>
      </c>
      <c r="B388" s="40">
        <v>650</v>
      </c>
      <c r="D388" t="s">
        <v>818</v>
      </c>
      <c r="E388" s="40">
        <v>650</v>
      </c>
    </row>
    <row r="389" spans="1:5" x14ac:dyDescent="0.25">
      <c r="A389" t="s">
        <v>819</v>
      </c>
      <c r="B389" s="40">
        <v>2050</v>
      </c>
      <c r="D389" t="s">
        <v>819</v>
      </c>
      <c r="E389" s="40">
        <v>2050</v>
      </c>
    </row>
    <row r="390" spans="1:5" x14ac:dyDescent="0.25">
      <c r="A390" t="s">
        <v>820</v>
      </c>
      <c r="B390" s="40">
        <v>7000</v>
      </c>
      <c r="D390" t="s">
        <v>820</v>
      </c>
      <c r="E390" s="40">
        <v>7000</v>
      </c>
    </row>
    <row r="391" spans="1:5" x14ac:dyDescent="0.25">
      <c r="A391" t="s">
        <v>821</v>
      </c>
      <c r="B391" s="40">
        <v>8400</v>
      </c>
      <c r="D391" t="s">
        <v>821</v>
      </c>
      <c r="E391" s="40">
        <v>8400</v>
      </c>
    </row>
    <row r="392" spans="1:5" x14ac:dyDescent="0.25">
      <c r="A392" t="s">
        <v>822</v>
      </c>
      <c r="B392" s="40">
        <v>8000</v>
      </c>
      <c r="D392" t="s">
        <v>822</v>
      </c>
      <c r="E392" s="40">
        <v>8000</v>
      </c>
    </row>
    <row r="393" spans="1:5" x14ac:dyDescent="0.25">
      <c r="A393" t="s">
        <v>823</v>
      </c>
      <c r="B393" s="40">
        <v>9400</v>
      </c>
      <c r="D393" t="s">
        <v>823</v>
      </c>
      <c r="E393" s="40">
        <v>9400</v>
      </c>
    </row>
    <row r="394" spans="1:5" x14ac:dyDescent="0.25">
      <c r="A394" t="s">
        <v>824</v>
      </c>
      <c r="B394" s="40">
        <v>9500</v>
      </c>
      <c r="D394" t="s">
        <v>824</v>
      </c>
      <c r="E394" s="40">
        <v>9500</v>
      </c>
    </row>
    <row r="395" spans="1:5" x14ac:dyDescent="0.25">
      <c r="A395" t="s">
        <v>825</v>
      </c>
      <c r="B395" s="40">
        <v>10900</v>
      </c>
      <c r="D395" t="s">
        <v>825</v>
      </c>
      <c r="E395" s="40">
        <v>10900</v>
      </c>
    </row>
    <row r="396" spans="1:5" x14ac:dyDescent="0.25">
      <c r="A396" t="s">
        <v>826</v>
      </c>
      <c r="B396" s="40">
        <v>11000</v>
      </c>
      <c r="D396" t="s">
        <v>826</v>
      </c>
      <c r="E396" s="40">
        <v>11000</v>
      </c>
    </row>
    <row r="397" spans="1:5" x14ac:dyDescent="0.25">
      <c r="A397" t="s">
        <v>827</v>
      </c>
      <c r="B397" s="40">
        <v>12400</v>
      </c>
      <c r="D397" t="s">
        <v>827</v>
      </c>
      <c r="E397" s="40">
        <v>12400</v>
      </c>
    </row>
    <row r="398" spans="1:5" x14ac:dyDescent="0.25">
      <c r="A398" t="s">
        <v>836</v>
      </c>
      <c r="B398" s="40">
        <v>3000</v>
      </c>
      <c r="D398" t="s">
        <v>836</v>
      </c>
      <c r="E398" s="40">
        <v>3000</v>
      </c>
    </row>
    <row r="399" spans="1:5" x14ac:dyDescent="0.25">
      <c r="A399" t="s">
        <v>837</v>
      </c>
      <c r="B399" s="40">
        <v>4000</v>
      </c>
      <c r="D399" t="s">
        <v>837</v>
      </c>
      <c r="E399" s="40">
        <v>4000</v>
      </c>
    </row>
    <row r="400" spans="1:5" x14ac:dyDescent="0.25">
      <c r="A400" t="s">
        <v>838</v>
      </c>
      <c r="B400" s="40">
        <v>2800</v>
      </c>
      <c r="D400" t="s">
        <v>838</v>
      </c>
      <c r="E400" s="40">
        <v>2800</v>
      </c>
    </row>
    <row r="401" spans="1:5" x14ac:dyDescent="0.25">
      <c r="A401" t="s">
        <v>839</v>
      </c>
      <c r="B401" s="40">
        <v>3800</v>
      </c>
      <c r="D401" t="s">
        <v>839</v>
      </c>
      <c r="E401" s="40">
        <v>3800</v>
      </c>
    </row>
    <row r="402" spans="1:5" x14ac:dyDescent="0.25">
      <c r="A402" t="s">
        <v>840</v>
      </c>
      <c r="B402" s="40">
        <v>1000</v>
      </c>
      <c r="D402" t="s">
        <v>840</v>
      </c>
      <c r="E402" s="40">
        <v>1000</v>
      </c>
    </row>
    <row r="403" spans="1:5" x14ac:dyDescent="0.25">
      <c r="A403" t="s">
        <v>841</v>
      </c>
      <c r="B403" s="40">
        <v>1500</v>
      </c>
      <c r="D403" t="s">
        <v>841</v>
      </c>
      <c r="E403" s="40">
        <v>1500</v>
      </c>
    </row>
    <row r="404" spans="1:5" x14ac:dyDescent="0.25">
      <c r="A404" t="s">
        <v>842</v>
      </c>
      <c r="B404" s="40">
        <v>750</v>
      </c>
      <c r="D404" t="s">
        <v>842</v>
      </c>
      <c r="E404" s="40">
        <v>750</v>
      </c>
    </row>
    <row r="405" spans="1:5" x14ac:dyDescent="0.25">
      <c r="A405" t="s">
        <v>843</v>
      </c>
      <c r="B405" s="40">
        <v>1150</v>
      </c>
      <c r="D405" t="s">
        <v>843</v>
      </c>
      <c r="E405" s="40">
        <v>1150</v>
      </c>
    </row>
    <row r="406" spans="1:5" x14ac:dyDescent="0.25">
      <c r="A406" t="s">
        <v>844</v>
      </c>
      <c r="B406" s="40">
        <v>400</v>
      </c>
      <c r="D406" t="s">
        <v>844</v>
      </c>
      <c r="E406" s="40">
        <v>400</v>
      </c>
    </row>
    <row r="407" spans="1:5" x14ac:dyDescent="0.25">
      <c r="A407" t="s">
        <v>845</v>
      </c>
      <c r="B407" s="40">
        <v>800</v>
      </c>
      <c r="D407" t="s">
        <v>845</v>
      </c>
      <c r="E407" s="40">
        <v>800</v>
      </c>
    </row>
    <row r="408" spans="1:5" x14ac:dyDescent="0.25">
      <c r="A408" t="s">
        <v>870</v>
      </c>
      <c r="B408" s="40">
        <v>5500</v>
      </c>
      <c r="D408" t="s">
        <v>870</v>
      </c>
      <c r="E408" s="40">
        <v>5500</v>
      </c>
    </row>
    <row r="409" spans="1:5" x14ac:dyDescent="0.25">
      <c r="A409" t="s">
        <v>871</v>
      </c>
      <c r="B409" s="40">
        <v>7000</v>
      </c>
      <c r="D409" t="s">
        <v>871</v>
      </c>
      <c r="E409" s="40">
        <v>7000</v>
      </c>
    </row>
    <row r="410" spans="1:5" x14ac:dyDescent="0.25">
      <c r="A410" t="s">
        <v>872</v>
      </c>
      <c r="B410" s="40">
        <v>5500</v>
      </c>
      <c r="D410" t="s">
        <v>872</v>
      </c>
      <c r="E410" s="40">
        <v>5500</v>
      </c>
    </row>
    <row r="411" spans="1:5" x14ac:dyDescent="0.25">
      <c r="A411" t="s">
        <v>873</v>
      </c>
      <c r="B411" s="40">
        <v>7000</v>
      </c>
      <c r="D411" t="s">
        <v>873</v>
      </c>
      <c r="E411" s="40">
        <v>7000</v>
      </c>
    </row>
    <row r="412" spans="1:5" x14ac:dyDescent="0.25">
      <c r="A412" t="s">
        <v>874</v>
      </c>
      <c r="B412" s="40">
        <v>6500</v>
      </c>
      <c r="D412" t="s">
        <v>874</v>
      </c>
      <c r="E412" s="40">
        <v>6500</v>
      </c>
    </row>
    <row r="413" spans="1:5" x14ac:dyDescent="0.25">
      <c r="A413" t="s">
        <v>875</v>
      </c>
      <c r="B413" s="40">
        <v>8000</v>
      </c>
      <c r="D413" t="s">
        <v>875</v>
      </c>
      <c r="E413" s="40">
        <v>8000</v>
      </c>
    </row>
    <row r="414" spans="1:5" x14ac:dyDescent="0.25">
      <c r="A414" t="s">
        <v>876</v>
      </c>
      <c r="B414" s="40">
        <v>7500</v>
      </c>
      <c r="D414" t="s">
        <v>876</v>
      </c>
      <c r="E414" s="40">
        <v>7500</v>
      </c>
    </row>
    <row r="415" spans="1:5" x14ac:dyDescent="0.25">
      <c r="A415" t="s">
        <v>877</v>
      </c>
      <c r="B415" s="40">
        <v>9000</v>
      </c>
      <c r="D415" t="s">
        <v>877</v>
      </c>
      <c r="E415" s="40">
        <v>9000</v>
      </c>
    </row>
    <row r="416" spans="1:5" x14ac:dyDescent="0.25">
      <c r="A416" t="s">
        <v>878</v>
      </c>
      <c r="B416" s="40">
        <v>12500</v>
      </c>
      <c r="D416" t="s">
        <v>878</v>
      </c>
      <c r="E416" s="40">
        <v>12500</v>
      </c>
    </row>
    <row r="417" spans="1:5" x14ac:dyDescent="0.25">
      <c r="A417" t="s">
        <v>879</v>
      </c>
      <c r="B417" s="40">
        <v>15500</v>
      </c>
      <c r="D417" t="s">
        <v>879</v>
      </c>
      <c r="E417" s="40">
        <v>15500</v>
      </c>
    </row>
    <row r="418" spans="1:5" x14ac:dyDescent="0.25">
      <c r="A418" t="s">
        <v>880</v>
      </c>
      <c r="B418" s="40">
        <v>12500</v>
      </c>
      <c r="D418" t="s">
        <v>880</v>
      </c>
      <c r="E418" s="40">
        <v>12500</v>
      </c>
    </row>
    <row r="419" spans="1:5" x14ac:dyDescent="0.25">
      <c r="A419" t="s">
        <v>881</v>
      </c>
      <c r="B419" s="40">
        <v>14000</v>
      </c>
      <c r="D419" t="s">
        <v>881</v>
      </c>
      <c r="E419" s="40">
        <v>14000</v>
      </c>
    </row>
    <row r="420" spans="1:5" x14ac:dyDescent="0.25">
      <c r="A420" t="s">
        <v>882</v>
      </c>
      <c r="B420" s="40">
        <v>1500</v>
      </c>
      <c r="D420" t="s">
        <v>882</v>
      </c>
      <c r="E420" s="40">
        <v>1500</v>
      </c>
    </row>
    <row r="421" spans="1:5" x14ac:dyDescent="0.25">
      <c r="A421" t="s">
        <v>883</v>
      </c>
      <c r="B421" s="40">
        <v>2250</v>
      </c>
      <c r="D421" t="s">
        <v>883</v>
      </c>
      <c r="E421" s="40">
        <v>2250</v>
      </c>
    </row>
    <row r="422" spans="1:5" x14ac:dyDescent="0.25">
      <c r="A422" t="s">
        <v>884</v>
      </c>
      <c r="B422" s="40">
        <v>1000</v>
      </c>
      <c r="D422" t="s">
        <v>884</v>
      </c>
      <c r="E422" s="40">
        <v>1000</v>
      </c>
    </row>
    <row r="423" spans="1:5" x14ac:dyDescent="0.25">
      <c r="A423" t="s">
        <v>885</v>
      </c>
      <c r="B423" s="40">
        <v>1750</v>
      </c>
      <c r="D423" t="s">
        <v>885</v>
      </c>
      <c r="E423" s="40">
        <v>1750</v>
      </c>
    </row>
    <row r="424" spans="1:5" x14ac:dyDescent="0.25">
      <c r="A424" t="s">
        <v>886</v>
      </c>
      <c r="B424" s="40">
        <v>500</v>
      </c>
      <c r="D424" t="s">
        <v>886</v>
      </c>
      <c r="E424" s="40">
        <v>500</v>
      </c>
    </row>
    <row r="425" spans="1:5" x14ac:dyDescent="0.25">
      <c r="A425" t="s">
        <v>887</v>
      </c>
      <c r="B425" s="40">
        <v>1250</v>
      </c>
      <c r="D425" t="s">
        <v>887</v>
      </c>
      <c r="E425" s="40">
        <v>1250</v>
      </c>
    </row>
    <row r="426" spans="1:5" x14ac:dyDescent="0.25">
      <c r="A426" t="s">
        <v>888</v>
      </c>
      <c r="B426" s="40">
        <v>10500</v>
      </c>
      <c r="D426" t="s">
        <v>888</v>
      </c>
      <c r="E426" s="40">
        <v>10500</v>
      </c>
    </row>
    <row r="427" spans="1:5" x14ac:dyDescent="0.25">
      <c r="A427" t="s">
        <v>889</v>
      </c>
      <c r="B427" s="40">
        <v>12500</v>
      </c>
      <c r="D427" t="s">
        <v>889</v>
      </c>
      <c r="E427" s="40">
        <v>12500</v>
      </c>
    </row>
    <row r="428" spans="1:5" x14ac:dyDescent="0.25">
      <c r="A428" t="s">
        <v>890</v>
      </c>
      <c r="B428" s="40">
        <v>15500</v>
      </c>
      <c r="D428" t="s">
        <v>890</v>
      </c>
      <c r="E428" s="40">
        <v>15500</v>
      </c>
    </row>
    <row r="429" spans="1:5" x14ac:dyDescent="0.25">
      <c r="A429" t="s">
        <v>891</v>
      </c>
      <c r="B429" s="40">
        <v>17500</v>
      </c>
      <c r="D429" t="s">
        <v>891</v>
      </c>
      <c r="E429" s="40">
        <v>17500</v>
      </c>
    </row>
    <row r="430" spans="1:5" x14ac:dyDescent="0.25">
      <c r="A430" t="s">
        <v>892</v>
      </c>
      <c r="B430" s="40">
        <v>2000</v>
      </c>
      <c r="D430" t="s">
        <v>892</v>
      </c>
      <c r="E430" s="40">
        <v>2000</v>
      </c>
    </row>
    <row r="431" spans="1:5" x14ac:dyDescent="0.25">
      <c r="A431" t="s">
        <v>893</v>
      </c>
      <c r="B431" s="40">
        <v>3000</v>
      </c>
      <c r="D431" t="s">
        <v>893</v>
      </c>
      <c r="E431" s="40">
        <v>3000</v>
      </c>
    </row>
    <row r="432" spans="1:5" x14ac:dyDescent="0.25">
      <c r="A432" t="s">
        <v>894</v>
      </c>
      <c r="B432" s="40">
        <v>1500</v>
      </c>
      <c r="D432" t="s">
        <v>894</v>
      </c>
      <c r="E432" s="40">
        <v>1500</v>
      </c>
    </row>
    <row r="433" spans="1:5" x14ac:dyDescent="0.25">
      <c r="A433" t="s">
        <v>895</v>
      </c>
      <c r="B433" s="40">
        <v>2000</v>
      </c>
      <c r="D433" t="s">
        <v>895</v>
      </c>
      <c r="E433" s="40">
        <v>2000</v>
      </c>
    </row>
    <row r="434" spans="1:5" x14ac:dyDescent="0.25">
      <c r="A434" t="s">
        <v>896</v>
      </c>
      <c r="B434" s="40">
        <v>1000</v>
      </c>
      <c r="D434" t="s">
        <v>896</v>
      </c>
      <c r="E434" s="40">
        <v>1000</v>
      </c>
    </row>
    <row r="435" spans="1:5" x14ac:dyDescent="0.25">
      <c r="A435" t="s">
        <v>897</v>
      </c>
      <c r="B435" s="40">
        <v>1500</v>
      </c>
      <c r="D435" t="s">
        <v>897</v>
      </c>
      <c r="E435" s="40">
        <v>1500</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2CE1-CD1B-4C1F-B174-432745923548}">
  <dimension ref="C1:H37"/>
  <sheetViews>
    <sheetView showGridLines="0" workbookViewId="0">
      <selection activeCell="D3" sqref="D3"/>
    </sheetView>
  </sheetViews>
  <sheetFormatPr defaultRowHeight="15" x14ac:dyDescent="0.25"/>
  <cols>
    <col min="3" max="3" width="41.7109375" bestFit="1" customWidth="1"/>
    <col min="4" max="4" width="67.28515625" bestFit="1" customWidth="1"/>
    <col min="5" max="5" width="12.85546875" bestFit="1" customWidth="1"/>
    <col min="6" max="6" width="11.42578125" bestFit="1" customWidth="1"/>
    <col min="7" max="7" width="10.7109375" bestFit="1" customWidth="1"/>
    <col min="8" max="8" width="18" bestFit="1" customWidth="1"/>
    <col min="9" max="9" width="17.7109375" customWidth="1"/>
    <col min="10" max="10" width="19.28515625" customWidth="1"/>
    <col min="11" max="11" width="14.28515625" customWidth="1"/>
    <col min="12" max="12" width="18" bestFit="1" customWidth="1"/>
    <col min="13" max="13" width="19.42578125" bestFit="1" customWidth="1"/>
    <col min="14" max="14" width="20" bestFit="1" customWidth="1"/>
    <col min="15" max="15" width="23.140625" bestFit="1" customWidth="1"/>
    <col min="16" max="16" width="18" bestFit="1" customWidth="1"/>
  </cols>
  <sheetData>
    <row r="1" spans="3:8" ht="18" x14ac:dyDescent="0.25">
      <c r="C1" s="50" t="s">
        <v>87</v>
      </c>
      <c r="D1" s="50" t="s">
        <v>88</v>
      </c>
      <c r="E1" s="50" t="s">
        <v>89</v>
      </c>
    </row>
    <row r="2" spans="3:8" ht="18" x14ac:dyDescent="0.25">
      <c r="C2" s="83" t="s">
        <v>124</v>
      </c>
      <c r="D2" s="51" t="s">
        <v>934</v>
      </c>
      <c r="E2" s="47"/>
    </row>
    <row r="3" spans="3:8" ht="18" x14ac:dyDescent="0.25">
      <c r="C3" s="48" t="s">
        <v>125</v>
      </c>
      <c r="D3" s="51"/>
      <c r="E3" s="47"/>
    </row>
    <row r="4" spans="3:8" ht="18" x14ac:dyDescent="0.25">
      <c r="C4" s="49"/>
      <c r="D4" s="51"/>
      <c r="E4" s="47"/>
    </row>
    <row r="5" spans="3:8" ht="18" x14ac:dyDescent="0.25">
      <c r="C5" s="48"/>
      <c r="D5" s="51"/>
      <c r="E5" s="47"/>
    </row>
    <row r="6" spans="3:8" ht="18" x14ac:dyDescent="0.25">
      <c r="C6" s="49"/>
      <c r="D6" s="51"/>
      <c r="E6" s="47"/>
    </row>
    <row r="7" spans="3:8" ht="28.5" customHeight="1" x14ac:dyDescent="0.25">
      <c r="C7" s="49"/>
      <c r="D7" s="51"/>
      <c r="E7" s="47"/>
    </row>
    <row r="8" spans="3:8" ht="18" x14ac:dyDescent="0.25">
      <c r="C8" s="49"/>
      <c r="D8" s="51"/>
      <c r="E8" s="47"/>
    </row>
    <row r="9" spans="3:8" ht="18" x14ac:dyDescent="0.25">
      <c r="C9" s="49"/>
      <c r="D9" s="51"/>
      <c r="E9" s="47"/>
    </row>
    <row r="10" spans="3:8" ht="18" x14ac:dyDescent="0.25">
      <c r="C10" s="49"/>
      <c r="D10" s="51"/>
      <c r="E10" s="47"/>
    </row>
    <row r="13" spans="3:8" ht="15.75" thickBot="1" x14ac:dyDescent="0.3"/>
    <row r="14" spans="3:8" ht="18.75" thickBot="1" x14ac:dyDescent="0.3">
      <c r="C14" s="62" t="s">
        <v>106</v>
      </c>
      <c r="D14" s="63" t="s">
        <v>107</v>
      </c>
      <c r="E14" s="61"/>
      <c r="F14" s="63"/>
      <c r="G14" s="63"/>
      <c r="H14" s="63"/>
    </row>
    <row r="15" spans="3:8" ht="18.75" thickBot="1" x14ac:dyDescent="0.3">
      <c r="C15" s="64" t="s">
        <v>105</v>
      </c>
      <c r="D15" s="65">
        <v>4500</v>
      </c>
      <c r="E15" s="65"/>
      <c r="F15" s="65"/>
      <c r="G15" s="65"/>
      <c r="H15" s="65"/>
    </row>
    <row r="16" spans="3:8" ht="18.75" thickBot="1" x14ac:dyDescent="0.3">
      <c r="C16" s="66" t="s">
        <v>96</v>
      </c>
      <c r="D16" s="67">
        <v>6000</v>
      </c>
      <c r="E16" s="67"/>
      <c r="F16" s="67"/>
      <c r="G16" s="67"/>
      <c r="H16" s="67"/>
    </row>
    <row r="17" spans="3:8" ht="18.75" thickBot="1" x14ac:dyDescent="0.3">
      <c r="C17" s="68"/>
      <c r="D17" s="69"/>
      <c r="E17" s="69"/>
      <c r="F17" s="69"/>
      <c r="G17" s="69"/>
      <c r="H17" s="69"/>
    </row>
    <row r="18" spans="3:8" ht="18.75" thickBot="1" x14ac:dyDescent="0.3">
      <c r="C18" s="70"/>
      <c r="D18" s="71"/>
      <c r="E18" s="71"/>
      <c r="F18" s="71"/>
      <c r="G18" s="71"/>
      <c r="H18" s="71"/>
    </row>
    <row r="19" spans="3:8" ht="18.75" thickBot="1" x14ac:dyDescent="0.3">
      <c r="C19" s="70"/>
      <c r="D19" s="71"/>
      <c r="E19" s="71"/>
      <c r="F19" s="71"/>
      <c r="G19" s="71"/>
      <c r="H19" s="71"/>
    </row>
    <row r="20" spans="3:8" ht="18.75" thickBot="1" x14ac:dyDescent="0.3">
      <c r="C20" s="72"/>
      <c r="D20" s="73"/>
      <c r="E20" s="73"/>
      <c r="F20" s="73"/>
      <c r="G20" s="73"/>
      <c r="H20" s="73"/>
    </row>
    <row r="21" spans="3:8" ht="18.75" thickBot="1" x14ac:dyDescent="0.3">
      <c r="C21" s="74"/>
      <c r="D21" s="75"/>
      <c r="E21" s="75"/>
      <c r="F21" s="75"/>
      <c r="G21" s="75"/>
      <c r="H21" s="75"/>
    </row>
    <row r="22" spans="3:8" ht="18.75" thickBot="1" x14ac:dyDescent="0.3">
      <c r="C22" s="76"/>
      <c r="D22" s="77"/>
      <c r="E22" s="77"/>
      <c r="F22" s="77"/>
      <c r="G22" s="77"/>
      <c r="H22" s="77"/>
    </row>
    <row r="23" spans="3:8" ht="18.75" thickBot="1" x14ac:dyDescent="0.3">
      <c r="C23" s="78"/>
      <c r="D23" s="79"/>
      <c r="E23" s="79"/>
      <c r="F23" s="79"/>
      <c r="G23" s="79"/>
      <c r="H23" s="79"/>
    </row>
    <row r="24" spans="3:8" ht="18.75" thickBot="1" x14ac:dyDescent="0.3">
      <c r="C24" s="80"/>
      <c r="D24" s="81"/>
      <c r="E24" s="81"/>
      <c r="F24" s="81"/>
      <c r="G24" s="81"/>
      <c r="H24" s="81"/>
    </row>
    <row r="25" spans="3:8" x14ac:dyDescent="0.25">
      <c r="C25" t="s">
        <v>110</v>
      </c>
      <c r="D25" t="s">
        <v>111</v>
      </c>
    </row>
    <row r="26" spans="3:8" ht="15.75" thickBot="1" x14ac:dyDescent="0.3"/>
    <row r="27" spans="3:8" ht="18.75" thickBot="1" x14ac:dyDescent="0.3">
      <c r="D27" s="62"/>
      <c r="E27" s="61"/>
      <c r="F27" s="61"/>
      <c r="G27" s="61"/>
      <c r="H27" s="63"/>
    </row>
    <row r="28" spans="3:8" ht="18.75" thickBot="1" x14ac:dyDescent="0.3">
      <c r="D28" s="64"/>
      <c r="E28" s="65"/>
      <c r="F28" s="65"/>
      <c r="G28" s="65"/>
      <c r="H28" s="65"/>
    </row>
    <row r="29" spans="3:8" ht="18.75" thickBot="1" x14ac:dyDescent="0.3">
      <c r="D29" s="66"/>
      <c r="E29" s="67"/>
      <c r="F29" s="67"/>
      <c r="G29" s="67"/>
      <c r="H29" s="67"/>
    </row>
    <row r="30" spans="3:8" ht="18.75" thickBot="1" x14ac:dyDescent="0.3">
      <c r="D30" s="68"/>
      <c r="E30" s="69"/>
      <c r="F30" s="69"/>
      <c r="G30" s="69"/>
      <c r="H30" s="69"/>
    </row>
    <row r="31" spans="3:8" ht="18.75" thickBot="1" x14ac:dyDescent="0.3">
      <c r="D31" s="70"/>
      <c r="E31" s="71"/>
      <c r="F31" s="71"/>
      <c r="G31" s="71"/>
      <c r="H31" s="71"/>
    </row>
    <row r="32" spans="3:8" ht="18.75" thickBot="1" x14ac:dyDescent="0.3">
      <c r="D32" s="70"/>
      <c r="E32" s="71"/>
      <c r="F32" s="71"/>
      <c r="G32" s="71"/>
      <c r="H32" s="71"/>
    </row>
    <row r="33" spans="4:8" ht="18.75" thickBot="1" x14ac:dyDescent="0.3">
      <c r="D33" s="72"/>
      <c r="E33" s="73"/>
      <c r="F33" s="73"/>
      <c r="G33" s="73"/>
      <c r="H33" s="73"/>
    </row>
    <row r="34" spans="4:8" ht="18.75" thickBot="1" x14ac:dyDescent="0.3">
      <c r="D34" s="74"/>
      <c r="E34" s="75"/>
      <c r="F34" s="75"/>
      <c r="G34" s="75"/>
      <c r="H34" s="75"/>
    </row>
    <row r="35" spans="4:8" ht="18.75" thickBot="1" x14ac:dyDescent="0.3">
      <c r="D35" s="76"/>
      <c r="E35" s="77"/>
      <c r="F35" s="77"/>
      <c r="G35" s="77"/>
      <c r="H35" s="77"/>
    </row>
    <row r="36" spans="4:8" ht="18.75" thickBot="1" x14ac:dyDescent="0.3">
      <c r="D36" s="78"/>
      <c r="E36" s="79"/>
      <c r="F36" s="79"/>
      <c r="G36" s="79"/>
      <c r="H36" s="79"/>
    </row>
    <row r="37" spans="4:8" ht="18.75" thickBot="1" x14ac:dyDescent="0.3">
      <c r="D37" s="80"/>
      <c r="E37" s="81"/>
      <c r="F37" s="81"/>
      <c r="G37" s="81"/>
      <c r="H37" s="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5045-A15B-44E4-9630-92199334A16D}">
  <dimension ref="A1:V32"/>
  <sheetViews>
    <sheetView showGridLines="0" workbookViewId="0">
      <selection activeCell="B10" sqref="B10"/>
    </sheetView>
  </sheetViews>
  <sheetFormatPr defaultRowHeight="15" x14ac:dyDescent="0.25"/>
  <cols>
    <col min="1" max="1" width="7.85546875" bestFit="1" customWidth="1"/>
    <col min="2" max="2" width="35.28515625" style="86" customWidth="1"/>
    <col min="3" max="3" width="143.140625" style="86" customWidth="1"/>
  </cols>
  <sheetData>
    <row r="1" spans="1:22" x14ac:dyDescent="0.25">
      <c r="A1" s="21" t="s">
        <v>108</v>
      </c>
      <c r="B1" s="51" t="s">
        <v>109</v>
      </c>
      <c r="C1" s="51" t="s">
        <v>88</v>
      </c>
    </row>
    <row r="2" spans="1:22" ht="105" x14ac:dyDescent="0.25">
      <c r="A2" s="89" t="str">
        <f>IF(B2="","", "Day " &amp; ROW(A2)-1)</f>
        <v>Day 1</v>
      </c>
      <c r="B2" s="87" t="s">
        <v>126</v>
      </c>
      <c r="C2" s="51" t="s">
        <v>127</v>
      </c>
    </row>
    <row r="3" spans="1:22" s="84" customFormat="1" ht="60" x14ac:dyDescent="0.25">
      <c r="A3" s="89" t="str">
        <f t="shared" ref="A3:A32" si="0">IF(B3="","", "Day " &amp; ROW(A3)-1)</f>
        <v>Day 2</v>
      </c>
      <c r="B3" s="87" t="s">
        <v>128</v>
      </c>
      <c r="C3" s="51" t="s">
        <v>129</v>
      </c>
      <c r="D3"/>
      <c r="E3"/>
      <c r="F3"/>
      <c r="G3"/>
      <c r="H3"/>
      <c r="I3"/>
      <c r="J3"/>
      <c r="K3"/>
      <c r="L3"/>
      <c r="M3"/>
      <c r="N3"/>
      <c r="O3"/>
      <c r="P3"/>
      <c r="Q3"/>
      <c r="R3"/>
      <c r="S3"/>
      <c r="T3"/>
      <c r="U3"/>
      <c r="V3"/>
    </row>
    <row r="4" spans="1:22" ht="105" x14ac:dyDescent="0.25">
      <c r="A4" s="89" t="str">
        <f t="shared" si="0"/>
        <v>Day 3</v>
      </c>
      <c r="B4" s="87" t="s">
        <v>130</v>
      </c>
      <c r="C4" s="51" t="s">
        <v>131</v>
      </c>
    </row>
    <row r="5" spans="1:22" ht="60" x14ac:dyDescent="0.25">
      <c r="A5" s="89" t="str">
        <f t="shared" si="0"/>
        <v>Day 4</v>
      </c>
      <c r="B5" s="87" t="s">
        <v>132</v>
      </c>
      <c r="C5" s="51" t="s">
        <v>133</v>
      </c>
    </row>
    <row r="6" spans="1:22" ht="120" x14ac:dyDescent="0.25">
      <c r="A6" s="89" t="str">
        <f t="shared" si="0"/>
        <v>Day 5</v>
      </c>
      <c r="B6" s="87" t="s">
        <v>134</v>
      </c>
      <c r="C6" s="51" t="s">
        <v>135</v>
      </c>
    </row>
    <row r="7" spans="1:22" ht="45" x14ac:dyDescent="0.25">
      <c r="A7" s="89" t="str">
        <f t="shared" si="0"/>
        <v>Day 6</v>
      </c>
      <c r="B7" s="87" t="s">
        <v>136</v>
      </c>
      <c r="C7" s="51" t="s">
        <v>137</v>
      </c>
    </row>
    <row r="8" spans="1:22" ht="138.75" customHeight="1" x14ac:dyDescent="0.25">
      <c r="A8" s="89" t="str">
        <f t="shared" si="0"/>
        <v>Day 7</v>
      </c>
      <c r="B8" s="87" t="s">
        <v>138</v>
      </c>
      <c r="C8" s="51" t="s">
        <v>139</v>
      </c>
    </row>
    <row r="9" spans="1:22" ht="135" x14ac:dyDescent="0.25">
      <c r="A9" s="89" t="str">
        <f t="shared" si="0"/>
        <v>Day 8</v>
      </c>
      <c r="B9" s="87" t="s">
        <v>140</v>
      </c>
      <c r="C9" s="51" t="s">
        <v>141</v>
      </c>
    </row>
    <row r="10" spans="1:22" ht="164.25" customHeight="1" x14ac:dyDescent="0.25">
      <c r="A10" s="89" t="str">
        <f t="shared" si="0"/>
        <v>Day 9</v>
      </c>
      <c r="B10" s="87" t="s">
        <v>142</v>
      </c>
      <c r="C10" s="51" t="s">
        <v>143</v>
      </c>
    </row>
    <row r="11" spans="1:22" ht="195" x14ac:dyDescent="0.25">
      <c r="A11" t="str">
        <f>IF(B11="","", "Day " &amp; ROW(A11)-1)</f>
        <v>Day 10</v>
      </c>
      <c r="B11" s="87" t="s">
        <v>144</v>
      </c>
      <c r="C11" s="86" t="s">
        <v>145</v>
      </c>
    </row>
    <row r="12" spans="1:22" ht="195" x14ac:dyDescent="0.25">
      <c r="A12" t="str">
        <f t="shared" si="0"/>
        <v>Day 11</v>
      </c>
      <c r="B12" s="87" t="s">
        <v>146</v>
      </c>
      <c r="C12" s="86" t="s">
        <v>147</v>
      </c>
    </row>
    <row r="13" spans="1:22" ht="75" x14ac:dyDescent="0.25">
      <c r="A13" t="str">
        <f t="shared" si="0"/>
        <v>Day 12</v>
      </c>
      <c r="B13" s="87" t="s">
        <v>148</v>
      </c>
      <c r="C13" s="86" t="s">
        <v>149</v>
      </c>
    </row>
    <row r="14" spans="1:22" ht="75" x14ac:dyDescent="0.25">
      <c r="A14" t="str">
        <f t="shared" si="0"/>
        <v>Day 13</v>
      </c>
      <c r="B14" s="87" t="s">
        <v>150</v>
      </c>
      <c r="C14" s="86" t="s">
        <v>151</v>
      </c>
    </row>
    <row r="15" spans="1:22" ht="135" x14ac:dyDescent="0.25">
      <c r="A15" t="str">
        <f t="shared" si="0"/>
        <v>Day 14</v>
      </c>
      <c r="B15" s="87" t="s">
        <v>152</v>
      </c>
      <c r="C15" s="86" t="s">
        <v>153</v>
      </c>
    </row>
    <row r="16" spans="1:22" ht="45" x14ac:dyDescent="0.25">
      <c r="A16" t="str">
        <f t="shared" si="0"/>
        <v>Day 15</v>
      </c>
      <c r="B16" s="87" t="s">
        <v>154</v>
      </c>
      <c r="C16" s="86" t="s">
        <v>155</v>
      </c>
    </row>
    <row r="17" spans="1:3" ht="225" x14ac:dyDescent="0.25">
      <c r="A17" t="str">
        <f t="shared" si="0"/>
        <v>Day 16</v>
      </c>
      <c r="B17" s="87" t="s">
        <v>156</v>
      </c>
      <c r="C17" s="86" t="s">
        <v>157</v>
      </c>
    </row>
    <row r="18" spans="1:3" x14ac:dyDescent="0.25">
      <c r="A18" t="str">
        <f t="shared" si="0"/>
        <v/>
      </c>
      <c r="B18" s="87"/>
    </row>
    <row r="19" spans="1:3" x14ac:dyDescent="0.25">
      <c r="A19" t="str">
        <f>IF(B19="","", "Day " &amp; ROW(A19)-1)</f>
        <v/>
      </c>
      <c r="B19" s="87"/>
    </row>
    <row r="20" spans="1:3" x14ac:dyDescent="0.25">
      <c r="A20" t="str">
        <f t="shared" si="0"/>
        <v/>
      </c>
      <c r="B20" s="87"/>
    </row>
    <row r="21" spans="1:3" x14ac:dyDescent="0.25">
      <c r="A21" t="str">
        <f t="shared" si="0"/>
        <v/>
      </c>
      <c r="B21" s="87"/>
    </row>
    <row r="22" spans="1:3" x14ac:dyDescent="0.25">
      <c r="A22" t="str">
        <f t="shared" si="0"/>
        <v/>
      </c>
      <c r="B22" s="87"/>
    </row>
    <row r="23" spans="1:3" x14ac:dyDescent="0.25">
      <c r="A23" t="str">
        <f t="shared" si="0"/>
        <v/>
      </c>
      <c r="B23" s="87"/>
    </row>
    <row r="24" spans="1:3" x14ac:dyDescent="0.25">
      <c r="A24" t="str">
        <f t="shared" si="0"/>
        <v/>
      </c>
      <c r="B24" s="87"/>
    </row>
    <row r="25" spans="1:3" x14ac:dyDescent="0.25">
      <c r="A25" t="str">
        <f t="shared" si="0"/>
        <v/>
      </c>
      <c r="B25" s="87"/>
    </row>
    <row r="26" spans="1:3" x14ac:dyDescent="0.25">
      <c r="A26" t="str">
        <f t="shared" si="0"/>
        <v/>
      </c>
      <c r="B26" s="87"/>
    </row>
    <row r="27" spans="1:3" x14ac:dyDescent="0.25">
      <c r="A27" t="str">
        <f t="shared" si="0"/>
        <v/>
      </c>
      <c r="B27" s="87"/>
    </row>
    <row r="28" spans="1:3" x14ac:dyDescent="0.25">
      <c r="A28" t="str">
        <f>IF(B28="","", "Day " &amp; ROW(A28)-1)</f>
        <v/>
      </c>
      <c r="B28" s="87"/>
    </row>
    <row r="29" spans="1:3" x14ac:dyDescent="0.25">
      <c r="A29" t="str">
        <f t="shared" si="0"/>
        <v/>
      </c>
      <c r="B29" s="87"/>
    </row>
    <row r="30" spans="1:3" x14ac:dyDescent="0.25">
      <c r="A30" t="str">
        <f t="shared" si="0"/>
        <v/>
      </c>
      <c r="B30" s="87"/>
    </row>
    <row r="31" spans="1:3" x14ac:dyDescent="0.25">
      <c r="A31" t="str">
        <f t="shared" si="0"/>
        <v/>
      </c>
      <c r="B31" s="87"/>
    </row>
    <row r="32" spans="1:3" x14ac:dyDescent="0.25">
      <c r="A32" t="str">
        <f t="shared" si="0"/>
        <v/>
      </c>
      <c r="B32" s="87"/>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CC48-8D05-44FB-897C-7722BC13B04E}">
  <sheetPr codeName="Sheet4"/>
  <dimension ref="A1:ADE790"/>
  <sheetViews>
    <sheetView topLeftCell="A13" workbookViewId="0">
      <selection activeCell="AB12" sqref="AB12"/>
    </sheetView>
  </sheetViews>
  <sheetFormatPr defaultRowHeight="15" x14ac:dyDescent="0.25"/>
  <cols>
    <col min="3" max="3" width="44.5703125" bestFit="1" customWidth="1"/>
    <col min="8" max="8" width="38.85546875" bestFit="1" customWidth="1"/>
    <col min="9" max="9" width="27.85546875" bestFit="1" customWidth="1"/>
    <col min="10" max="10" width="20.85546875" bestFit="1" customWidth="1"/>
    <col min="11" max="11" width="35.5703125" bestFit="1" customWidth="1"/>
    <col min="12" max="12" width="33.85546875" bestFit="1" customWidth="1"/>
    <col min="13" max="13" width="17.28515625" bestFit="1" customWidth="1"/>
    <col min="14" max="14" width="16.7109375" bestFit="1" customWidth="1"/>
    <col min="15" max="15" width="19.5703125" bestFit="1" customWidth="1"/>
    <col min="16" max="16" width="19" bestFit="1" customWidth="1"/>
    <col min="17" max="17" width="17.42578125" bestFit="1" customWidth="1"/>
    <col min="18" max="18" width="35.85546875" bestFit="1" customWidth="1"/>
    <col min="19" max="19" width="18.42578125" bestFit="1" customWidth="1"/>
    <col min="20" max="20" width="44.5703125" bestFit="1" customWidth="1"/>
    <col min="21" max="21" width="30" bestFit="1" customWidth="1"/>
    <col min="22" max="22" width="24" bestFit="1" customWidth="1"/>
    <col min="23" max="23" width="17.28515625" bestFit="1" customWidth="1"/>
    <col min="24" max="24" width="31" bestFit="1" customWidth="1"/>
    <col min="25" max="25" width="26.5703125" bestFit="1" customWidth="1"/>
    <col min="26" max="26" width="24.85546875" bestFit="1" customWidth="1"/>
    <col min="27" max="27" width="27.42578125" bestFit="1" customWidth="1"/>
    <col min="28" max="28" width="15.28515625" bestFit="1" customWidth="1"/>
    <col min="29" max="29" width="15.7109375" bestFit="1" customWidth="1"/>
    <col min="30" max="30" width="9.7109375" bestFit="1" customWidth="1"/>
    <col min="31" max="31" width="10.85546875" bestFit="1" customWidth="1"/>
    <col min="32" max="32" width="15" bestFit="1" customWidth="1"/>
    <col min="33" max="33" width="23.28515625" bestFit="1" customWidth="1"/>
    <col min="34" max="34" width="16.28515625" bestFit="1" customWidth="1"/>
    <col min="35" max="35" width="10.7109375" bestFit="1" customWidth="1"/>
    <col min="36" max="36" width="19.5703125" bestFit="1" customWidth="1"/>
    <col min="37" max="37" width="11.28515625" bestFit="1" customWidth="1"/>
    <col min="38" max="38" width="16" bestFit="1" customWidth="1"/>
    <col min="39" max="39" width="20" bestFit="1" customWidth="1"/>
    <col min="40" max="40" width="10.7109375" bestFit="1" customWidth="1"/>
    <col min="41" max="41" width="12.5703125" bestFit="1" customWidth="1"/>
    <col min="42" max="42" width="15.28515625" bestFit="1" customWidth="1"/>
    <col min="43" max="43" width="14.28515625" bestFit="1" customWidth="1"/>
    <col min="191" max="191" width="28.7109375" customWidth="1"/>
  </cols>
  <sheetData>
    <row r="1" spans="1:785" x14ac:dyDescent="0.25">
      <c r="B1" t="s">
        <v>20</v>
      </c>
    </row>
    <row r="2" spans="1:785" x14ac:dyDescent="0.25">
      <c r="B2" t="str" cm="1">
        <f t="array" ref="B2:B8">_xlfn.UNIQUE(RAW[[Destination ]])</f>
        <v>Alleppey</v>
      </c>
      <c r="C2" t="s">
        <v>26</v>
      </c>
    </row>
    <row r="3" spans="1:785" x14ac:dyDescent="0.25">
      <c r="B3" t="str">
        <v xml:space="preserve">Thekkady </v>
      </c>
    </row>
    <row r="4" spans="1:785" x14ac:dyDescent="0.25">
      <c r="B4" t="str">
        <v>Kovalam</v>
      </c>
    </row>
    <row r="5" spans="1:785" x14ac:dyDescent="0.25">
      <c r="B5" t="str">
        <v>Thiruvananthapuram</v>
      </c>
    </row>
    <row r="6" spans="1:785" x14ac:dyDescent="0.25">
      <c r="B6" t="str">
        <v>Munnar</v>
      </c>
    </row>
    <row r="7" spans="1:785" x14ac:dyDescent="0.25">
      <c r="B7" t="str">
        <v>Varkala</v>
      </c>
    </row>
    <row r="8" spans="1:785" x14ac:dyDescent="0.25">
      <c r="B8" t="str">
        <v>Kochi</v>
      </c>
    </row>
    <row r="12" spans="1:785" x14ac:dyDescent="0.25">
      <c r="A12" s="9" t="s">
        <v>20</v>
      </c>
      <c r="B12" s="9" t="s">
        <v>4</v>
      </c>
      <c r="C12" s="9" t="s">
        <v>5</v>
      </c>
      <c r="H12" t="str" cm="1">
        <f t="array" ref="H12:ADE12">TRANSPOSE($C$13:$C$790)</f>
        <v>Venice Iva Residency</v>
      </c>
      <c r="I12" t="str">
        <v>The Elephant Court</v>
      </c>
      <c r="J12" t="str">
        <v>The Elephant Court</v>
      </c>
      <c r="K12" t="str">
        <v>The Elephant Court</v>
      </c>
      <c r="L12" t="str">
        <v>The Elephant Court</v>
      </c>
      <c r="M12" t="str">
        <v>The Elephant Court</v>
      </c>
      <c r="N12" t="str">
        <v>The Elephant Court</v>
      </c>
      <c r="O12" t="str">
        <v>The Elephant Court</v>
      </c>
      <c r="P12" t="str">
        <v>Peppervine</v>
      </c>
      <c r="Q12" t="str">
        <v>Peppervine</v>
      </c>
      <c r="R12" t="str">
        <v>Peppervine</v>
      </c>
      <c r="S12" t="str">
        <v>Peppervine</v>
      </c>
      <c r="T12" t="str">
        <v>Peppervine</v>
      </c>
      <c r="U12" t="str">
        <v>Peppervine</v>
      </c>
      <c r="V12" t="str">
        <v>Uday Samudra Beach Hotel</v>
      </c>
      <c r="W12" t="str">
        <v>Uday Samudra Leisure Beach Hotel</v>
      </c>
      <c r="X12" t="str">
        <v>Uday Samudra Leisure Beach Hotel</v>
      </c>
      <c r="Y12" t="str">
        <v>Uday Samudra Leisure Beach Hotel</v>
      </c>
      <c r="Z12" t="str">
        <v>Uday Samudra Leisure Beach Hotel</v>
      </c>
      <c r="AA12" t="str">
        <v>Uday Samudra Leisure Beach Hotel</v>
      </c>
      <c r="AB12" t="str">
        <v>Uday Samudra Leisure Beach Hotel</v>
      </c>
      <c r="AC12" t="str">
        <v>Uday Samudra Leisure Beach Hotel</v>
      </c>
      <c r="AD12" t="str">
        <v>Uday Samudra Leisure Beach Hotel</v>
      </c>
      <c r="AE12" t="str">
        <v>Uday Samudra Leisure Beach Hotel</v>
      </c>
      <c r="AF12" t="str">
        <v>Uday Samudra Leisure Beach Hotel</v>
      </c>
      <c r="AG12" t="str">
        <v>Uday Samudra Leisure Beach Hotel</v>
      </c>
      <c r="AH12" t="str">
        <v>The Byke Heritage - Puja Samudra</v>
      </c>
      <c r="AI12" t="str">
        <v>The Byke Heritage - Puja Samudra</v>
      </c>
      <c r="AJ12" t="str">
        <v>Uday Backwater Resort</v>
      </c>
      <c r="AK12" t="str">
        <v>Uday Backwater Resort</v>
      </c>
      <c r="AL12" t="str">
        <v>Uday Backwater Resort</v>
      </c>
      <c r="AM12" t="str">
        <v>Uday Backwater Resort</v>
      </c>
      <c r="AN12" t="str">
        <v>Uday Backwater Resort</v>
      </c>
      <c r="AO12" t="str">
        <v>Uday Backwater Resort</v>
      </c>
      <c r="AP12" t="str">
        <v>Uday Backwater Resort</v>
      </c>
      <c r="AQ12" t="str">
        <v>Uday Backwater Resort</v>
      </c>
      <c r="AR12" t="str">
        <v>Uday Backwater Resort</v>
      </c>
      <c r="AS12" t="str">
        <v>Uday Suites, The Airport Hotel</v>
      </c>
      <c r="AT12" t="str">
        <v>Uday Suites, The Airport Hotel</v>
      </c>
      <c r="AU12" t="str">
        <v>Uday Suites, The Airport Hotel</v>
      </c>
      <c r="AV12" t="str">
        <v>Uday Suites, The Airport Hotel</v>
      </c>
      <c r="AW12" t="str">
        <v>Uday Suites, The Airport Hotel</v>
      </c>
      <c r="AX12" t="str">
        <v>Uday Suites, The Airport Hotel</v>
      </c>
      <c r="AY12" t="str">
        <v>Uday Suites, The Airport Hotel</v>
      </c>
      <c r="AZ12" t="str">
        <v>Uday Suites, The Airport Hotel</v>
      </c>
      <c r="BA12" t="str">
        <v xml:space="preserve">Tea castle resort </v>
      </c>
      <c r="BB12" t="str">
        <v xml:space="preserve">Tea castle resort </v>
      </c>
      <c r="BC12" t="str">
        <v xml:space="preserve">Tea castle resort </v>
      </c>
      <c r="BD12" t="str">
        <v xml:space="preserve">Tea castle resort </v>
      </c>
      <c r="BE12" t="str">
        <v xml:space="preserve">Tea castle resort </v>
      </c>
      <c r="BF12" t="str">
        <v xml:space="preserve">Tea castle resort </v>
      </c>
      <c r="BG12" t="str">
        <v xml:space="preserve">The Breeze Resort </v>
      </c>
      <c r="BH12" t="str">
        <v xml:space="preserve">The Breeze Resort </v>
      </c>
      <c r="BI12" t="str">
        <v>The Whispering Meadows</v>
      </c>
      <c r="BJ12" t="str">
        <v>The Whispering Meadows</v>
      </c>
      <c r="BK12" t="str">
        <v>Blossom Hill Resort</v>
      </c>
      <c r="BL12" t="str">
        <v>Blossom Hill Resort</v>
      </c>
      <c r="BM12" t="str">
        <v>Venice Iva Residency</v>
      </c>
      <c r="BN12" t="str">
        <v>Venice Iva Residency</v>
      </c>
      <c r="BO12" t="str">
        <v>Seven Springs Plantation Resort</v>
      </c>
      <c r="BP12" t="str">
        <v>Seven Springs Plantation Resort</v>
      </c>
      <c r="BQ12" t="str">
        <v>Seven Springs Plantation Resort</v>
      </c>
      <c r="BR12" t="str">
        <v>Seven Springs Plantation Resort</v>
      </c>
      <c r="BS12" t="str">
        <v>Seven Springs Plantation Resort</v>
      </c>
      <c r="BT12" t="str">
        <v>Casino Houseboats</v>
      </c>
      <c r="BU12" t="str">
        <v>Casino Houseboats</v>
      </c>
      <c r="BV12" t="str">
        <v xml:space="preserve">Haveli Backwater Resort </v>
      </c>
      <c r="BW12" t="str">
        <v xml:space="preserve">Haveli Backwater Resort </v>
      </c>
      <c r="BX12" t="str">
        <v xml:space="preserve">Haveli Backwater Resort </v>
      </c>
      <c r="BY12" t="str">
        <v xml:space="preserve">Haveli Backwater Resort </v>
      </c>
      <c r="BZ12" t="str">
        <v xml:space="preserve">Haveli Backwater Resort </v>
      </c>
      <c r="CA12" t="str">
        <v xml:space="preserve">Haveli Backwater Resort </v>
      </c>
      <c r="CB12" t="str">
        <v>Pagoda Resorts</v>
      </c>
      <c r="CC12" t="str">
        <v>Pagoda Resorts</v>
      </c>
      <c r="CD12" t="str">
        <v>Pagoda Resorts</v>
      </c>
      <c r="CE12" t="str">
        <v>Pagoda Resorts</v>
      </c>
      <c r="CF12" t="str">
        <v>Pagoda Resorts</v>
      </c>
      <c r="CG12" t="str">
        <v>Pagoda Resorts</v>
      </c>
      <c r="CH12" t="str">
        <v>Pagoda Resorts</v>
      </c>
      <c r="CI12" t="str">
        <v xml:space="preserve">Pagoda Plantation Resort  </v>
      </c>
      <c r="CJ12" t="str">
        <v xml:space="preserve">Pagoda Plantation Resort  </v>
      </c>
      <c r="CK12" t="str">
        <v xml:space="preserve">Pagoda Plantation Resort  </v>
      </c>
      <c r="CL12" t="str">
        <v xml:space="preserve">Pagoda Plantation Resort  </v>
      </c>
      <c r="CM12" t="str">
        <v xml:space="preserve">Pagoda Plantation Resort  </v>
      </c>
      <c r="CN12" t="str">
        <v xml:space="preserve">Pagoda Plantation Resort  </v>
      </c>
      <c r="CO12" t="str">
        <v xml:space="preserve">Pagoda Plantation Resort  </v>
      </c>
      <c r="CP12" t="str">
        <v xml:space="preserve">Pagoda Plantation Resort  </v>
      </c>
      <c r="CQ12" t="str">
        <v xml:space="preserve">Pagoda Plantation Resort  </v>
      </c>
      <c r="CR12" t="str">
        <v xml:space="preserve">The Breeze Resort </v>
      </c>
      <c r="CS12" t="str">
        <v>Jungle Park Resort</v>
      </c>
      <c r="CT12" t="str">
        <v>Jungle Park Resort</v>
      </c>
      <c r="CU12" t="str">
        <v>Jungle Park Resort</v>
      </c>
      <c r="CV12" t="str">
        <v>Jungle Park Resort</v>
      </c>
      <c r="CW12" t="str">
        <v>Jungle Park Resort</v>
      </c>
      <c r="CX12" t="str">
        <v>Jungle Park Resort</v>
      </c>
      <c r="CY12" t="str">
        <v>Jungle Park Resort</v>
      </c>
      <c r="CZ12" t="str">
        <v>Jungle Park Resort</v>
      </c>
      <c r="DA12" t="str">
        <v>Blossom Hill Resort</v>
      </c>
      <c r="DB12" t="str">
        <v>Symphony Houseboats</v>
      </c>
      <c r="DC12" t="str">
        <v>Jeevan Beach Resort</v>
      </c>
      <c r="DD12" t="str">
        <v>Jeevan Beach Resort</v>
      </c>
      <c r="DE12" t="str">
        <v>Jeevan Beach Resort</v>
      </c>
      <c r="DF12" t="str">
        <v>Jeevan Beach Resort</v>
      </c>
      <c r="DG12" t="str">
        <v>Jeevan Beach Resort</v>
      </c>
      <c r="DH12" t="str">
        <v>Jeevan Beach Resort</v>
      </c>
      <c r="DI12" t="str">
        <v>Sunview Beach Resort &amp; Spa by Citrine</v>
      </c>
      <c r="DJ12" t="str">
        <v>Sunview Beach Resort &amp; Spa by Citrine</v>
      </c>
      <c r="DK12" t="str">
        <v>Sunview Beach Resort &amp; Spa by Citrine</v>
      </c>
      <c r="DL12" t="str">
        <v>Sunview Beach Resort &amp; Spa by Citrine</v>
      </c>
      <c r="DM12" t="str">
        <v>Sunview Beach Resort &amp; Spa by Citrine</v>
      </c>
      <c r="DN12" t="str">
        <v>Sunview Beach Resort &amp; Spa by Citrine</v>
      </c>
      <c r="DO12" t="str">
        <v>Sunview Beach Resort &amp; Spa by Citrine</v>
      </c>
      <c r="DP12" t="str">
        <v>Venice Iva Residency</v>
      </c>
      <c r="DQ12" t="str">
        <v>Venice Iva Residency</v>
      </c>
      <c r="DR12" t="str">
        <v>Venice Iva Residency</v>
      </c>
      <c r="DS12" t="str">
        <v>Sprise Munnar Resort &amp; Spa</v>
      </c>
      <c r="DT12" t="str">
        <v>Sprise Munnar Resort &amp; Spa</v>
      </c>
      <c r="DU12" t="str">
        <v>Sprise Munnar Resort &amp; Spa</v>
      </c>
      <c r="DV12" t="str">
        <v>Sprise Munnar Resort &amp; Spa</v>
      </c>
      <c r="DW12" t="str">
        <v>Sprise Munnar Resort &amp; Spa</v>
      </c>
      <c r="DX12" t="str">
        <v>Sprise Munnar Resort &amp; Spa</v>
      </c>
      <c r="DY12" t="str">
        <v>Sprise Munnar Resort &amp; Spa</v>
      </c>
      <c r="DZ12" t="str">
        <v>Broad Bean Hotel</v>
      </c>
      <c r="EA12" t="str">
        <v>Broad Bean Hotel</v>
      </c>
      <c r="EB12" t="str">
        <v>Broad Bean Hotel</v>
      </c>
      <c r="EC12" t="str">
        <v>Broad Bean Hotel</v>
      </c>
      <c r="ED12" t="str">
        <v>Broad Bean Hotel</v>
      </c>
      <c r="EE12" t="str">
        <v>Broad Bean Hotel</v>
      </c>
      <c r="EF12" t="str">
        <v>Broad Bean Hotel</v>
      </c>
      <c r="EG12" t="str">
        <v>Broad Bean Hotel</v>
      </c>
      <c r="EH12" t="str">
        <v xml:space="preserve">The Breeze Resort </v>
      </c>
      <c r="EI12" t="str">
        <v xml:space="preserve">The Breeze Resort </v>
      </c>
      <c r="EJ12" t="str">
        <v>Jeevan Beach Resort</v>
      </c>
      <c r="EK12" t="str">
        <v>Jeevan Beach Resort</v>
      </c>
      <c r="EL12" t="str">
        <v>Jeevan Beach Resort</v>
      </c>
      <c r="EM12" t="str">
        <v>Blossom Hill Resort</v>
      </c>
      <c r="EN12" t="str">
        <v>Blossom Hill Resort</v>
      </c>
      <c r="EO12" t="str">
        <v>Lagoona Beach Resort</v>
      </c>
      <c r="EP12" t="str">
        <v>Lagoona Beach Resort</v>
      </c>
      <c r="EQ12" t="str">
        <v>Lagoona Beach Resort</v>
      </c>
      <c r="ER12" t="str">
        <v>Lagoona Beach Resort</v>
      </c>
      <c r="ES12" t="str">
        <v>Lagoona Beach Resort</v>
      </c>
      <c r="ET12" t="str">
        <v>Lagoona Beach Resort</v>
      </c>
      <c r="EU12" t="str">
        <v>Lagoona Beach Resort</v>
      </c>
      <c r="EV12" t="str">
        <v>Lagoona Beach Resort</v>
      </c>
      <c r="EW12" t="str">
        <v>Lagoona Beach Resort</v>
      </c>
      <c r="EX12" t="str">
        <v>The Whispering Meadows</v>
      </c>
      <c r="EY12" t="str">
        <v>The Whispering Meadows</v>
      </c>
      <c r="EZ12" t="str">
        <v>The Whispering Meadows</v>
      </c>
      <c r="FA12" t="str">
        <v>Napier Heritage Fort</v>
      </c>
      <c r="FB12" t="str">
        <v>Napier Heritage Fort</v>
      </c>
      <c r="FC12" t="str">
        <v>Napier Heritage Fort</v>
      </c>
      <c r="FD12" t="str">
        <v>Napier Heritage Fort</v>
      </c>
      <c r="FE12" t="str">
        <v>Napier Heritage Fort</v>
      </c>
      <c r="FF12" t="str">
        <v>Napier Heritage Fort</v>
      </c>
      <c r="FG12" t="str">
        <v>Napier Heritage Fort</v>
      </c>
      <c r="FH12" t="str">
        <v>Napier Heritage Fort</v>
      </c>
      <c r="FI12" t="str">
        <v>Napier Heritage Fort</v>
      </c>
      <c r="FJ12" t="str">
        <v>Napier Heritage Fort</v>
      </c>
      <c r="FK12" t="str">
        <v>Trium Resort &amp; Houseboats</v>
      </c>
      <c r="FL12" t="str">
        <v>Trium Resort &amp; Houseboats</v>
      </c>
      <c r="FM12" t="str">
        <v>Trium Resort &amp; Houseboats</v>
      </c>
      <c r="FN12" t="str">
        <v>Trium Resort &amp; Houseboats</v>
      </c>
      <c r="FO12" t="str">
        <v>Trium Resort &amp; Houseboats</v>
      </c>
      <c r="FP12" t="str">
        <v>Trium Resort &amp; Houseboats</v>
      </c>
      <c r="FQ12" t="str">
        <v>Trium Deluxe Houseboats</v>
      </c>
      <c r="FR12" t="str">
        <v>Trium Deluxe Houseboats</v>
      </c>
      <c r="FS12" t="str">
        <v>Trium Preimum Houseboats</v>
      </c>
      <c r="FT12" t="str">
        <v>Trium Preimum Houseboats</v>
      </c>
      <c r="FU12" t="str">
        <v>Ocean Bay Ayurvedic Beach Resort</v>
      </c>
      <c r="FV12" t="str">
        <v>Ocean Bay Ayurvedic Beach Resort</v>
      </c>
      <c r="FW12" t="str">
        <v>Ocean Bay Ayurvedic Beach Resort</v>
      </c>
      <c r="FX12" t="str">
        <v>Ocean Bay Ayurvedic Beach Resort</v>
      </c>
      <c r="FY12" t="str">
        <v>Ocean Bay Ayurvedic Beach Resort</v>
      </c>
      <c r="FZ12" t="str">
        <v>Aadisaktthi Resort</v>
      </c>
      <c r="GA12" t="str">
        <v>Aadisaktthi Resort</v>
      </c>
      <c r="GB12" t="str">
        <v>Aadisaktthi Resort</v>
      </c>
      <c r="GC12" t="str">
        <v>Aadisaktthi Resort</v>
      </c>
      <c r="GD12" t="str">
        <v>Aadisaktthi Resort</v>
      </c>
      <c r="GE12" t="str">
        <v>Aadisaktthi Resort</v>
      </c>
      <c r="GF12" t="str">
        <v>Aadisaktthi Resort</v>
      </c>
      <c r="GG12" t="str">
        <v>Aadisaktthi Resort</v>
      </c>
      <c r="GH12" t="str">
        <v>Aadisaktthi Resort</v>
      </c>
      <c r="GI12" t="str">
        <v>Miraaya Sundara Island Villa</v>
      </c>
      <c r="GJ12" t="str">
        <v>Miraaya Sundara Island Villa</v>
      </c>
      <c r="GK12" t="str">
        <v>Miraaya Sundara Island Villa</v>
      </c>
      <c r="GL12" t="str">
        <v>Miraaya Sundara Island Villa</v>
      </c>
      <c r="GM12" t="str">
        <v>Miraaya Sundara Island Villa</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
      </c>
      <c r="HH12" t="str">
        <v/>
      </c>
      <c r="HI12" t="str">
        <v/>
      </c>
      <c r="HJ12" t="str">
        <v/>
      </c>
      <c r="HK12" t="str">
        <v/>
      </c>
      <c r="HL12" t="str">
        <v/>
      </c>
      <c r="HM12" t="str">
        <v/>
      </c>
      <c r="HN12" t="str">
        <v/>
      </c>
      <c r="HO12" t="str">
        <v/>
      </c>
      <c r="HP12" t="str">
        <v/>
      </c>
      <c r="HQ12" t="str">
        <v/>
      </c>
      <c r="HR12" t="str">
        <v/>
      </c>
      <c r="HS12" t="str">
        <v/>
      </c>
      <c r="HT12" t="str">
        <v/>
      </c>
      <c r="HU12" t="str">
        <v/>
      </c>
      <c r="HV12" t="str">
        <v/>
      </c>
      <c r="HW12" t="str">
        <v/>
      </c>
      <c r="HX12" t="str">
        <v/>
      </c>
      <c r="HY12" t="str">
        <v/>
      </c>
      <c r="HZ12" t="str">
        <v/>
      </c>
      <c r="IA12" t="str">
        <v/>
      </c>
      <c r="IB12" t="str">
        <v/>
      </c>
      <c r="IC12" t="str">
        <v/>
      </c>
      <c r="ID12" t="str">
        <v/>
      </c>
      <c r="IE12" t="str">
        <v/>
      </c>
      <c r="IF12" t="str">
        <v/>
      </c>
      <c r="IG12" t="str">
        <v/>
      </c>
      <c r="IH12" t="str">
        <v/>
      </c>
      <c r="II12" t="str">
        <v/>
      </c>
      <c r="IJ12" t="str">
        <v/>
      </c>
      <c r="IK12" t="str">
        <v/>
      </c>
      <c r="IL12" t="str">
        <v/>
      </c>
      <c r="IM12" t="str">
        <v/>
      </c>
      <c r="IN12" t="str">
        <v/>
      </c>
      <c r="IO12" t="str">
        <v/>
      </c>
      <c r="IP12" t="str">
        <v/>
      </c>
      <c r="IQ12" t="str">
        <v/>
      </c>
      <c r="IR12" t="str">
        <v/>
      </c>
      <c r="IS12" t="str">
        <v/>
      </c>
      <c r="IT12" t="str">
        <v/>
      </c>
      <c r="IU12" t="str">
        <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
      </c>
      <c r="JN12" t="str">
        <v/>
      </c>
      <c r="JO12" t="str">
        <v/>
      </c>
      <c r="JP12" t="str">
        <v/>
      </c>
      <c r="JQ12" t="str">
        <v/>
      </c>
      <c r="JR12" t="str">
        <v/>
      </c>
      <c r="JS12" t="str">
        <v/>
      </c>
      <c r="JT12" t="str">
        <v/>
      </c>
      <c r="JU12" t="str">
        <v/>
      </c>
      <c r="JV12" t="str">
        <v/>
      </c>
      <c r="JW12" t="str">
        <v/>
      </c>
      <c r="JX12" t="str">
        <v/>
      </c>
      <c r="JY12" t="str">
        <v/>
      </c>
      <c r="JZ12" t="str">
        <v/>
      </c>
      <c r="KA12" t="str">
        <v/>
      </c>
      <c r="KB12" t="str">
        <v/>
      </c>
      <c r="KC12" t="str">
        <v/>
      </c>
      <c r="KD12" t="str">
        <v/>
      </c>
      <c r="KE12" t="str">
        <v/>
      </c>
      <c r="KF12" t="str">
        <v/>
      </c>
      <c r="KG12" t="str">
        <v/>
      </c>
      <c r="KH12" t="str">
        <v/>
      </c>
      <c r="KI12" t="str">
        <v/>
      </c>
      <c r="KJ12" t="str">
        <v/>
      </c>
      <c r="KK12" t="str">
        <v/>
      </c>
      <c r="KL12" t="str">
        <v/>
      </c>
      <c r="KM12" t="str">
        <v/>
      </c>
      <c r="KN12" t="str">
        <v/>
      </c>
      <c r="KO12" t="str">
        <v/>
      </c>
      <c r="KP12" t="str">
        <v/>
      </c>
      <c r="KQ12" t="str">
        <v/>
      </c>
      <c r="KR12" t="str">
        <v/>
      </c>
      <c r="KS12" t="str">
        <v/>
      </c>
      <c r="KT12" t="str">
        <v/>
      </c>
      <c r="KU12" t="str">
        <v/>
      </c>
      <c r="KV12" t="str">
        <v/>
      </c>
      <c r="KW12" t="str">
        <v/>
      </c>
      <c r="KX12" t="str">
        <v/>
      </c>
      <c r="KY12" t="str">
        <v/>
      </c>
      <c r="KZ12" t="str">
        <v/>
      </c>
      <c r="LA12" t="str">
        <v/>
      </c>
      <c r="LB12" t="str">
        <v/>
      </c>
      <c r="LC12" t="str">
        <v/>
      </c>
      <c r="LD12" t="str">
        <v/>
      </c>
      <c r="LE12" t="str">
        <v/>
      </c>
      <c r="LF12" t="str">
        <v/>
      </c>
      <c r="LG12" t="str">
        <v/>
      </c>
      <c r="LH12" t="str">
        <v/>
      </c>
      <c r="LI12" t="str">
        <v/>
      </c>
      <c r="LJ12" t="str">
        <v/>
      </c>
      <c r="LK12" t="str">
        <v/>
      </c>
      <c r="LL12" t="str">
        <v/>
      </c>
      <c r="LM12" t="str">
        <v/>
      </c>
      <c r="LN12" t="str">
        <v/>
      </c>
      <c r="LO12" t="str">
        <v/>
      </c>
      <c r="LP12" t="str">
        <v/>
      </c>
      <c r="LQ12" t="str">
        <v/>
      </c>
      <c r="LR12" t="str">
        <v/>
      </c>
      <c r="LS12" t="str">
        <v/>
      </c>
      <c r="LT12" t="str">
        <v/>
      </c>
      <c r="LU12" t="str">
        <v/>
      </c>
      <c r="LV12" t="str">
        <v/>
      </c>
      <c r="LW12" t="str">
        <v/>
      </c>
      <c r="LX12" t="str">
        <v/>
      </c>
      <c r="LY12" t="str">
        <v/>
      </c>
      <c r="LZ12" t="str">
        <v/>
      </c>
      <c r="MA12" t="str">
        <v/>
      </c>
      <c r="MB12" t="str">
        <v/>
      </c>
      <c r="MC12" t="str">
        <v/>
      </c>
      <c r="MD12" t="str">
        <v/>
      </c>
      <c r="ME12" t="str">
        <v/>
      </c>
      <c r="MF12" t="str">
        <v/>
      </c>
      <c r="MG12" t="str">
        <v/>
      </c>
      <c r="MH12" t="str">
        <v/>
      </c>
      <c r="MI12" t="str">
        <v/>
      </c>
      <c r="MJ12" t="str">
        <v/>
      </c>
      <c r="MK12" t="str">
        <v/>
      </c>
      <c r="ML12" t="str">
        <v/>
      </c>
      <c r="MM12" t="str">
        <v/>
      </c>
      <c r="MN12" t="str">
        <v/>
      </c>
      <c r="MO12" t="str">
        <v/>
      </c>
      <c r="MP12" t="str">
        <v/>
      </c>
      <c r="MQ12" t="str">
        <v/>
      </c>
      <c r="MR12" t="str">
        <v/>
      </c>
      <c r="MS12" t="str">
        <v/>
      </c>
      <c r="MT12" t="str">
        <v/>
      </c>
      <c r="MU12" t="str">
        <v/>
      </c>
      <c r="MV12" t="str">
        <v/>
      </c>
      <c r="MW12" t="str">
        <v/>
      </c>
      <c r="MX12" t="str">
        <v/>
      </c>
      <c r="MY12" t="str">
        <v/>
      </c>
      <c r="MZ12" t="str">
        <v/>
      </c>
      <c r="NA12" t="str">
        <v/>
      </c>
      <c r="NB12" t="str">
        <v/>
      </c>
      <c r="NC12" t="str">
        <v/>
      </c>
      <c r="ND12" t="str">
        <v/>
      </c>
      <c r="NE12" t="str">
        <v/>
      </c>
      <c r="NF12" t="str">
        <v/>
      </c>
      <c r="NG12" t="str">
        <v/>
      </c>
      <c r="NH12" t="str">
        <v/>
      </c>
      <c r="NI12" t="str">
        <v/>
      </c>
      <c r="NJ12" t="str">
        <v/>
      </c>
      <c r="NK12" t="str">
        <v/>
      </c>
      <c r="NL12" t="str">
        <v/>
      </c>
      <c r="NM12" t="str">
        <v/>
      </c>
      <c r="NN12" t="str">
        <v/>
      </c>
      <c r="NO12" t="str">
        <v/>
      </c>
      <c r="NP12" t="str">
        <v/>
      </c>
      <c r="NQ12" t="str">
        <v/>
      </c>
      <c r="NR12" t="str">
        <v/>
      </c>
      <c r="NS12" t="str">
        <v/>
      </c>
      <c r="NT12" t="str">
        <v/>
      </c>
      <c r="NU12" t="str">
        <v/>
      </c>
      <c r="NV12" t="str">
        <v/>
      </c>
      <c r="NW12" t="str">
        <v/>
      </c>
      <c r="NX12" t="str">
        <v/>
      </c>
      <c r="NY12" t="str">
        <v/>
      </c>
      <c r="NZ12" t="str">
        <v/>
      </c>
      <c r="OA12" t="str">
        <v/>
      </c>
      <c r="OB12" t="str">
        <v/>
      </c>
      <c r="OC12" t="str">
        <v/>
      </c>
      <c r="OD12" t="str">
        <v/>
      </c>
      <c r="OE12" t="str">
        <v/>
      </c>
      <c r="OF12" t="str">
        <v/>
      </c>
      <c r="OG12" t="str">
        <v/>
      </c>
      <c r="OH12" t="str">
        <v/>
      </c>
      <c r="OI12" t="str">
        <v/>
      </c>
      <c r="OJ12" t="str">
        <v/>
      </c>
      <c r="OK12" t="str">
        <v/>
      </c>
      <c r="OL12" t="str">
        <v/>
      </c>
      <c r="OM12" t="str">
        <v/>
      </c>
      <c r="ON12" t="str">
        <v/>
      </c>
      <c r="OO12" t="str">
        <v/>
      </c>
      <c r="OP12" t="str">
        <v/>
      </c>
      <c r="OQ12" t="str">
        <v/>
      </c>
      <c r="OR12" t="str">
        <v/>
      </c>
      <c r="OS12" t="str">
        <v/>
      </c>
      <c r="OT12" t="str">
        <v/>
      </c>
      <c r="OU12" t="str">
        <v/>
      </c>
      <c r="OV12" t="str">
        <v/>
      </c>
      <c r="OW12" t="str">
        <v/>
      </c>
      <c r="OX12" t="str">
        <v/>
      </c>
      <c r="OY12" t="str">
        <v/>
      </c>
      <c r="OZ12" t="str">
        <v/>
      </c>
      <c r="PA12" t="str">
        <v/>
      </c>
      <c r="PB12" t="str">
        <v/>
      </c>
      <c r="PC12" t="str">
        <v/>
      </c>
      <c r="PD12" t="str">
        <v/>
      </c>
      <c r="PE12" t="str">
        <v/>
      </c>
      <c r="PF12" t="str">
        <v/>
      </c>
      <c r="PG12" t="str">
        <v/>
      </c>
      <c r="PH12" t="str">
        <v/>
      </c>
      <c r="PI12" t="str">
        <v/>
      </c>
      <c r="PJ12" t="str">
        <v/>
      </c>
      <c r="PK12" t="str">
        <v/>
      </c>
      <c r="PL12" t="str">
        <v/>
      </c>
      <c r="PM12" t="str">
        <v/>
      </c>
      <c r="PN12" t="str">
        <v/>
      </c>
      <c r="PO12" t="str">
        <v/>
      </c>
      <c r="PP12" t="str">
        <v/>
      </c>
      <c r="PQ12" t="str">
        <v/>
      </c>
      <c r="PR12" t="str">
        <v/>
      </c>
      <c r="PS12" t="str">
        <v/>
      </c>
      <c r="PT12" t="str">
        <v/>
      </c>
      <c r="PU12" t="str">
        <v/>
      </c>
      <c r="PV12" t="str">
        <v/>
      </c>
      <c r="PW12" t="str">
        <v/>
      </c>
      <c r="PX12" t="str">
        <v/>
      </c>
      <c r="PY12" t="str">
        <v/>
      </c>
      <c r="PZ12" t="str">
        <v/>
      </c>
      <c r="QA12" t="str">
        <v/>
      </c>
      <c r="QB12" t="str">
        <v/>
      </c>
      <c r="QC12" t="str">
        <v/>
      </c>
      <c r="QD12" t="str">
        <v/>
      </c>
      <c r="QE12" t="str">
        <v/>
      </c>
      <c r="QF12" t="str">
        <v/>
      </c>
      <c r="QG12" t="str">
        <v/>
      </c>
      <c r="QH12" t="str">
        <v/>
      </c>
      <c r="QI12" t="str">
        <v/>
      </c>
      <c r="QJ12" t="str">
        <v/>
      </c>
      <c r="QK12" t="str">
        <v/>
      </c>
      <c r="QL12" t="str">
        <v/>
      </c>
      <c r="QM12" t="str">
        <v/>
      </c>
      <c r="QN12" t="str">
        <v/>
      </c>
      <c r="QO12" t="str">
        <v/>
      </c>
      <c r="QP12" t="str">
        <v/>
      </c>
      <c r="QQ12" t="str">
        <v/>
      </c>
      <c r="QR12" t="str">
        <v/>
      </c>
      <c r="QS12" t="str">
        <v/>
      </c>
      <c r="QT12" t="str">
        <v/>
      </c>
      <c r="QU12" t="str">
        <v/>
      </c>
      <c r="QV12" t="str">
        <v/>
      </c>
      <c r="QW12" t="str">
        <v/>
      </c>
      <c r="QX12" t="str">
        <v/>
      </c>
      <c r="QY12" t="str">
        <v/>
      </c>
      <c r="QZ12" t="str">
        <v/>
      </c>
      <c r="RA12" t="str">
        <v/>
      </c>
      <c r="RB12" t="str">
        <v/>
      </c>
      <c r="RC12" t="str">
        <v/>
      </c>
      <c r="RD12" t="str">
        <v/>
      </c>
      <c r="RE12" t="str">
        <v/>
      </c>
      <c r="RF12" t="str">
        <v/>
      </c>
      <c r="RG12" t="str">
        <v/>
      </c>
      <c r="RH12" t="str">
        <v/>
      </c>
      <c r="RI12" t="str">
        <v/>
      </c>
      <c r="RJ12" t="str">
        <v/>
      </c>
      <c r="RK12" t="str">
        <v/>
      </c>
      <c r="RL12" t="str">
        <v/>
      </c>
      <c r="RM12" t="str">
        <v/>
      </c>
      <c r="RN12" t="str">
        <v/>
      </c>
      <c r="RO12" t="str">
        <v/>
      </c>
      <c r="RP12" t="str">
        <v/>
      </c>
      <c r="RQ12" t="str">
        <v/>
      </c>
      <c r="RR12" t="str">
        <v/>
      </c>
      <c r="RS12" t="str">
        <v/>
      </c>
      <c r="RT12" t="str">
        <v/>
      </c>
      <c r="RU12" t="str">
        <v/>
      </c>
      <c r="RV12" t="str">
        <v/>
      </c>
      <c r="RW12" t="str">
        <v/>
      </c>
      <c r="RX12" t="str">
        <v/>
      </c>
      <c r="RY12" t="str">
        <v/>
      </c>
      <c r="RZ12" t="str">
        <v/>
      </c>
      <c r="SA12" t="str">
        <v/>
      </c>
      <c r="SB12" t="str">
        <v/>
      </c>
      <c r="SC12" t="str">
        <v/>
      </c>
      <c r="SD12" t="str">
        <v/>
      </c>
      <c r="SE12" t="str">
        <v/>
      </c>
      <c r="SF12" t="str">
        <v/>
      </c>
      <c r="SG12" t="str">
        <v/>
      </c>
      <c r="SH12" t="str">
        <v/>
      </c>
      <c r="SI12" t="str">
        <v/>
      </c>
      <c r="SJ12" t="str">
        <v/>
      </c>
      <c r="SK12" t="str">
        <v/>
      </c>
      <c r="SL12" t="str">
        <v/>
      </c>
      <c r="SM12" t="str">
        <v/>
      </c>
      <c r="SN12" t="str">
        <v/>
      </c>
      <c r="SO12" t="str">
        <v/>
      </c>
      <c r="SP12" t="str">
        <v/>
      </c>
      <c r="SQ12" t="str">
        <v/>
      </c>
      <c r="SR12" t="str">
        <v/>
      </c>
      <c r="SS12" t="str">
        <v/>
      </c>
      <c r="ST12" t="str">
        <v/>
      </c>
      <c r="SU12" t="str">
        <v/>
      </c>
      <c r="SV12" t="str">
        <v/>
      </c>
      <c r="SW12" t="str">
        <v/>
      </c>
      <c r="SX12" t="str">
        <v/>
      </c>
      <c r="SY12" t="str">
        <v/>
      </c>
      <c r="SZ12" t="str">
        <v/>
      </c>
      <c r="TA12" t="str">
        <v/>
      </c>
      <c r="TB12" t="str">
        <v/>
      </c>
      <c r="TC12" t="str">
        <v/>
      </c>
      <c r="TD12" t="str">
        <v/>
      </c>
      <c r="TE12" t="str">
        <v/>
      </c>
      <c r="TF12" t="str">
        <v/>
      </c>
      <c r="TG12" t="str">
        <v/>
      </c>
      <c r="TH12" t="str">
        <v/>
      </c>
      <c r="TI12" t="str">
        <v/>
      </c>
      <c r="TJ12" t="str">
        <v/>
      </c>
      <c r="TK12" t="str">
        <v/>
      </c>
      <c r="TL12" t="str">
        <v/>
      </c>
      <c r="TM12" t="str">
        <v/>
      </c>
      <c r="TN12" t="str">
        <v/>
      </c>
      <c r="TO12" t="str">
        <v/>
      </c>
      <c r="TP12" t="str">
        <v/>
      </c>
      <c r="TQ12" t="str">
        <v/>
      </c>
      <c r="TR12" t="str">
        <v/>
      </c>
      <c r="TS12" t="str">
        <v/>
      </c>
      <c r="TT12" t="str">
        <v/>
      </c>
      <c r="TU12" t="str">
        <v/>
      </c>
      <c r="TV12" t="str">
        <v/>
      </c>
      <c r="TW12" t="str">
        <v/>
      </c>
      <c r="TX12" t="str">
        <v/>
      </c>
      <c r="TY12" t="str">
        <v/>
      </c>
      <c r="TZ12" t="str">
        <v/>
      </c>
      <c r="UA12" t="str">
        <v/>
      </c>
      <c r="UB12" t="str">
        <v/>
      </c>
      <c r="UC12" t="str">
        <v/>
      </c>
      <c r="UD12" t="str">
        <v/>
      </c>
      <c r="UE12" t="str">
        <v/>
      </c>
      <c r="UF12" t="str">
        <v/>
      </c>
      <c r="UG12" t="str">
        <v/>
      </c>
      <c r="UH12" t="str">
        <v/>
      </c>
      <c r="UI12" t="str">
        <v/>
      </c>
      <c r="UJ12" t="str">
        <v/>
      </c>
      <c r="UK12" t="str">
        <v/>
      </c>
      <c r="UL12" t="str">
        <v/>
      </c>
      <c r="UM12" t="str">
        <v/>
      </c>
      <c r="UN12" t="str">
        <v/>
      </c>
      <c r="UO12" t="str">
        <v/>
      </c>
      <c r="UP12" t="str">
        <v/>
      </c>
      <c r="UQ12" t="str">
        <v/>
      </c>
      <c r="UR12" t="str">
        <v/>
      </c>
      <c r="US12" t="str">
        <v/>
      </c>
      <c r="UT12" t="str">
        <v/>
      </c>
      <c r="UU12" t="str">
        <v/>
      </c>
      <c r="UV12" t="str">
        <v/>
      </c>
      <c r="UW12" t="str">
        <v/>
      </c>
      <c r="UX12" t="str">
        <v/>
      </c>
      <c r="UY12" t="str">
        <v/>
      </c>
      <c r="UZ12" t="str">
        <v/>
      </c>
      <c r="VA12" t="str">
        <v/>
      </c>
      <c r="VB12" t="str">
        <v/>
      </c>
      <c r="VC12" t="str">
        <v/>
      </c>
      <c r="VD12" t="str">
        <v/>
      </c>
      <c r="VE12" t="str">
        <v/>
      </c>
      <c r="VF12" t="str">
        <v/>
      </c>
      <c r="VG12" t="str">
        <v/>
      </c>
      <c r="VH12" t="str">
        <v/>
      </c>
      <c r="VI12" t="str">
        <v/>
      </c>
      <c r="VJ12" t="str">
        <v/>
      </c>
      <c r="VK12" t="str">
        <v/>
      </c>
      <c r="VL12" t="str">
        <v/>
      </c>
      <c r="VM12" t="str">
        <v/>
      </c>
      <c r="VN12" t="str">
        <v/>
      </c>
      <c r="VO12" t="str">
        <v/>
      </c>
      <c r="VP12" t="str">
        <v/>
      </c>
      <c r="VQ12" t="str">
        <v/>
      </c>
      <c r="VR12" t="str">
        <v/>
      </c>
      <c r="VS12" t="str">
        <v/>
      </c>
      <c r="VT12" t="str">
        <v/>
      </c>
      <c r="VU12" t="str">
        <v/>
      </c>
      <c r="VV12" t="str">
        <v/>
      </c>
      <c r="VW12" t="str">
        <v/>
      </c>
      <c r="VX12" t="str">
        <v/>
      </c>
      <c r="VY12" t="str">
        <v/>
      </c>
      <c r="VZ12" t="str">
        <v/>
      </c>
      <c r="WA12" t="str">
        <v/>
      </c>
      <c r="WB12" t="str">
        <v/>
      </c>
      <c r="WC12" t="str">
        <v/>
      </c>
      <c r="WD12" t="str">
        <v/>
      </c>
      <c r="WE12" t="str">
        <v/>
      </c>
      <c r="WF12" t="str">
        <v/>
      </c>
      <c r="WG12" t="str">
        <v/>
      </c>
      <c r="WH12" t="str">
        <v/>
      </c>
      <c r="WI12" t="str">
        <v/>
      </c>
      <c r="WJ12" t="str">
        <v/>
      </c>
      <c r="WK12" t="str">
        <v/>
      </c>
      <c r="WL12" t="str">
        <v/>
      </c>
      <c r="WM12" t="str">
        <v/>
      </c>
      <c r="WN12" t="str">
        <v/>
      </c>
      <c r="WO12" t="str">
        <v/>
      </c>
      <c r="WP12" t="str">
        <v/>
      </c>
      <c r="WQ12" t="str">
        <v/>
      </c>
      <c r="WR12" t="str">
        <v/>
      </c>
      <c r="WS12" t="str">
        <v/>
      </c>
      <c r="WT12" t="str">
        <v/>
      </c>
      <c r="WU12" t="str">
        <v/>
      </c>
      <c r="WV12" t="str">
        <v/>
      </c>
      <c r="WW12" t="str">
        <v/>
      </c>
      <c r="WX12" t="str">
        <v/>
      </c>
      <c r="WY12" t="str">
        <v/>
      </c>
      <c r="WZ12" t="str">
        <v/>
      </c>
      <c r="XA12" t="str">
        <v/>
      </c>
      <c r="XB12" t="str">
        <v/>
      </c>
      <c r="XC12" t="str">
        <v/>
      </c>
      <c r="XD12" t="str">
        <v/>
      </c>
      <c r="XE12" t="str">
        <v/>
      </c>
      <c r="XF12" t="str">
        <v/>
      </c>
      <c r="XG12" t="str">
        <v/>
      </c>
      <c r="XH12" t="str">
        <v/>
      </c>
      <c r="XI12" t="str">
        <v/>
      </c>
      <c r="XJ12" t="str">
        <v/>
      </c>
      <c r="XK12" t="str">
        <v/>
      </c>
      <c r="XL12" t="str">
        <v/>
      </c>
      <c r="XM12" t="str">
        <v/>
      </c>
      <c r="XN12" t="str">
        <v/>
      </c>
      <c r="XO12" t="str">
        <v/>
      </c>
      <c r="XP12" t="str">
        <v/>
      </c>
      <c r="XQ12" t="str">
        <v/>
      </c>
      <c r="XR12" t="str">
        <v/>
      </c>
      <c r="XS12" t="str">
        <v/>
      </c>
      <c r="XT12" t="str">
        <v/>
      </c>
      <c r="XU12" t="str">
        <v/>
      </c>
      <c r="XV12" t="str">
        <v/>
      </c>
      <c r="XW12" t="str">
        <v/>
      </c>
      <c r="XX12" t="str">
        <v/>
      </c>
      <c r="XY12" t="str">
        <v/>
      </c>
      <c r="XZ12" t="str">
        <v/>
      </c>
      <c r="YA12" t="str">
        <v/>
      </c>
      <c r="YB12" t="str">
        <v/>
      </c>
      <c r="YC12" t="str">
        <v/>
      </c>
      <c r="YD12" t="str">
        <v/>
      </c>
      <c r="YE12" t="str">
        <v/>
      </c>
      <c r="YF12" t="str">
        <v/>
      </c>
      <c r="YG12" t="str">
        <v/>
      </c>
      <c r="YH12" t="str">
        <v/>
      </c>
      <c r="YI12" t="str">
        <v/>
      </c>
      <c r="YJ12" t="str">
        <v/>
      </c>
      <c r="YK12" t="str">
        <v/>
      </c>
      <c r="YL12" t="str">
        <v/>
      </c>
      <c r="YM12" t="str">
        <v/>
      </c>
      <c r="YN12" t="str">
        <v/>
      </c>
      <c r="YO12" t="str">
        <v/>
      </c>
      <c r="YP12" t="str">
        <v/>
      </c>
      <c r="YQ12" t="str">
        <v/>
      </c>
      <c r="YR12" t="str">
        <v/>
      </c>
      <c r="YS12" t="str">
        <v/>
      </c>
      <c r="YT12" t="str">
        <v/>
      </c>
      <c r="YU12" t="str">
        <v/>
      </c>
      <c r="YV12" t="str">
        <v/>
      </c>
      <c r="YW12" t="str">
        <v/>
      </c>
      <c r="YX12" t="str">
        <v/>
      </c>
      <c r="YY12" t="str">
        <v/>
      </c>
      <c r="YZ12" t="str">
        <v/>
      </c>
      <c r="ZA12" t="str">
        <v/>
      </c>
      <c r="ZB12" t="str">
        <v/>
      </c>
      <c r="ZC12" t="str">
        <v/>
      </c>
      <c r="ZD12" t="str">
        <v/>
      </c>
      <c r="ZE12" t="str">
        <v/>
      </c>
      <c r="ZF12" t="str">
        <v/>
      </c>
      <c r="ZG12" t="str">
        <v/>
      </c>
      <c r="ZH12" t="str">
        <v/>
      </c>
      <c r="ZI12" t="str">
        <v/>
      </c>
      <c r="ZJ12" t="str">
        <v/>
      </c>
      <c r="ZK12" t="str">
        <v/>
      </c>
      <c r="ZL12" t="str">
        <v/>
      </c>
      <c r="ZM12" t="str">
        <v/>
      </c>
      <c r="ZN12" t="str">
        <v/>
      </c>
      <c r="ZO12" t="str">
        <v/>
      </c>
      <c r="ZP12" t="str">
        <v/>
      </c>
      <c r="ZQ12" t="str">
        <v/>
      </c>
      <c r="ZR12" t="str">
        <v/>
      </c>
      <c r="ZS12" t="str">
        <v/>
      </c>
      <c r="ZT12" t="str">
        <v/>
      </c>
      <c r="ZU12" t="str">
        <v/>
      </c>
      <c r="ZV12" t="str">
        <v/>
      </c>
      <c r="ZW12" t="str">
        <v/>
      </c>
      <c r="ZX12" t="str">
        <v/>
      </c>
      <c r="ZY12" t="str">
        <v/>
      </c>
      <c r="ZZ12" t="str">
        <v/>
      </c>
      <c r="AAA12" t="str">
        <v/>
      </c>
      <c r="AAB12" t="str">
        <v/>
      </c>
      <c r="AAC12" t="str">
        <v/>
      </c>
      <c r="AAD12" t="str">
        <v/>
      </c>
      <c r="AAE12" t="str">
        <v/>
      </c>
      <c r="AAF12" t="str">
        <v/>
      </c>
      <c r="AAG12" t="str">
        <v/>
      </c>
      <c r="AAH12" t="str">
        <v/>
      </c>
      <c r="AAI12" t="str">
        <v/>
      </c>
      <c r="AAJ12" t="str">
        <v/>
      </c>
      <c r="AAK12" t="str">
        <v/>
      </c>
      <c r="AAL12" t="str">
        <v/>
      </c>
      <c r="AAM12" t="str">
        <v/>
      </c>
      <c r="AAN12" t="str">
        <v/>
      </c>
      <c r="AAO12" t="str">
        <v/>
      </c>
      <c r="AAP12" t="str">
        <v/>
      </c>
      <c r="AAQ12" t="str">
        <v/>
      </c>
      <c r="AAR12" t="str">
        <v/>
      </c>
      <c r="AAS12" t="str">
        <v/>
      </c>
      <c r="AAT12" t="str">
        <v/>
      </c>
      <c r="AAU12" t="str">
        <v/>
      </c>
      <c r="AAV12" t="str">
        <v/>
      </c>
      <c r="AAW12" t="str">
        <v/>
      </c>
      <c r="AAX12" t="str">
        <v/>
      </c>
      <c r="AAY12" t="str">
        <v/>
      </c>
      <c r="AAZ12" t="str">
        <v/>
      </c>
      <c r="ABA12" t="str">
        <v/>
      </c>
      <c r="ABB12" t="str">
        <v/>
      </c>
      <c r="ABC12" t="str">
        <v/>
      </c>
      <c r="ABD12" t="str">
        <v/>
      </c>
      <c r="ABE12" t="str">
        <v/>
      </c>
      <c r="ABF12" t="str">
        <v/>
      </c>
      <c r="ABG12" t="str">
        <v/>
      </c>
      <c r="ABH12" t="str">
        <v/>
      </c>
      <c r="ABI12" t="str">
        <v/>
      </c>
      <c r="ABJ12" t="str">
        <v/>
      </c>
      <c r="ABK12" t="str">
        <v/>
      </c>
      <c r="ABL12" t="str">
        <v/>
      </c>
      <c r="ABM12" t="str">
        <v/>
      </c>
      <c r="ABN12" t="str">
        <v/>
      </c>
      <c r="ABO12" t="str">
        <v/>
      </c>
      <c r="ABP12" t="str">
        <v/>
      </c>
      <c r="ABQ12" t="str">
        <v/>
      </c>
      <c r="ABR12" t="str">
        <v/>
      </c>
      <c r="ABS12" t="str">
        <v/>
      </c>
      <c r="ABT12" t="str">
        <v/>
      </c>
      <c r="ABU12" t="str">
        <v/>
      </c>
      <c r="ABV12" t="str">
        <v/>
      </c>
      <c r="ABW12" t="str">
        <v/>
      </c>
      <c r="ABX12" t="str">
        <v/>
      </c>
      <c r="ABY12" t="str">
        <v/>
      </c>
      <c r="ABZ12" t="str">
        <v/>
      </c>
      <c r="ACA12" t="str">
        <v/>
      </c>
      <c r="ACB12" t="str">
        <v/>
      </c>
      <c r="ACC12" t="str">
        <v/>
      </c>
      <c r="ACD12" t="str">
        <v/>
      </c>
      <c r="ACE12" t="str">
        <v/>
      </c>
      <c r="ACF12" t="str">
        <v/>
      </c>
      <c r="ACG12" t="str">
        <v/>
      </c>
      <c r="ACH12" t="str">
        <v/>
      </c>
      <c r="ACI12" t="str">
        <v/>
      </c>
      <c r="ACJ12" t="str">
        <v/>
      </c>
      <c r="ACK12" t="str">
        <v/>
      </c>
      <c r="ACL12" t="str">
        <v/>
      </c>
      <c r="ACM12" t="str">
        <v/>
      </c>
      <c r="ACN12" t="str">
        <v/>
      </c>
      <c r="ACO12" t="str">
        <v/>
      </c>
      <c r="ACP12" t="str">
        <v/>
      </c>
      <c r="ACQ12" t="str">
        <v/>
      </c>
      <c r="ACR12" t="str">
        <v/>
      </c>
      <c r="ACS12" t="str">
        <v/>
      </c>
      <c r="ACT12" t="str">
        <v/>
      </c>
      <c r="ACU12" t="str">
        <v/>
      </c>
      <c r="ACV12" t="str">
        <v/>
      </c>
      <c r="ACW12" t="str">
        <v/>
      </c>
      <c r="ACX12" t="str">
        <v/>
      </c>
      <c r="ACY12" t="str">
        <v/>
      </c>
      <c r="ACZ12" t="str">
        <v/>
      </c>
      <c r="ADA12" t="str">
        <v/>
      </c>
      <c r="ADB12" t="str">
        <v/>
      </c>
      <c r="ADC12" t="str">
        <v/>
      </c>
      <c r="ADD12" t="str">
        <v/>
      </c>
      <c r="ADE12" t="str">
        <v/>
      </c>
    </row>
    <row r="13" spans="1:785" x14ac:dyDescent="0.25">
      <c r="A13" t="str">
        <f>IF(B12="","",_xlfn.XLOOKUP(B13,'Raw'!C:C,'Raw'!B:B))</f>
        <v>Alleppey</v>
      </c>
      <c r="B13" t="str" cm="1">
        <f t="array" ref="B13:B200">_xlfn.UNIQUE(RAW[Hotel Code])</f>
        <v>KL1</v>
      </c>
      <c r="C13" t="str">
        <f>IF(B13="","",VLOOKUP(B13,RAW[[Hotel Code]:[Hotel / Resort Name ]],2,0))</f>
        <v>Venice Iva Residency</v>
      </c>
      <c r="H13" t="str" cm="1">
        <f t="array" ref="H13:H18">IF(H12="","",_xlfn._xlws.FILTER(RAW[[#All],[Room Type]],RAW[[#All],[Hotel / Resort Name ]]=Sheet2!H$12))</f>
        <v>Deluxe Room</v>
      </c>
      <c r="I13" t="str" cm="1">
        <f t="array" ref="I13:I19">IF(I12="","",_xlfn._xlws.FILTER(RAW[[#All],[Room Type]],RAW[[#All],[Hotel / Resort Name ]]=Sheet2!I$12))</f>
        <v>Patio</v>
      </c>
      <c r="J13" t="str" cm="1">
        <f t="array" ref="J13:J19">IF(J12="","",_xlfn._xlws.FILTER(RAW[[#All],[Room Type]],RAW[[#All],[Hotel / Resort Name ]]=Sheet2!J$12))</f>
        <v>Patio</v>
      </c>
      <c r="K13" t="str" cm="1">
        <f t="array" ref="K13:K19">IF(K12="","",_xlfn._xlws.FILTER(RAW[[#All],[Room Type]],RAW[[#All],[Hotel / Resort Name ]]=Sheet2!K$12))</f>
        <v>Patio</v>
      </c>
      <c r="L13" t="str" cm="1">
        <f t="array" ref="L13:L19">IF(L12="","",_xlfn._xlws.FILTER(RAW[[#All],[Room Type]],RAW[[#All],[Hotel / Resort Name ]]=Sheet2!L$12))</f>
        <v>Patio</v>
      </c>
      <c r="M13" t="str" cm="1">
        <f t="array" ref="M13:M19">IF(M12="","",_xlfn._xlws.FILTER(RAW[[#All],[Room Type]],RAW[[#All],[Hotel / Resort Name ]]=Sheet2!M$12))</f>
        <v>Patio</v>
      </c>
      <c r="N13" t="str" cm="1">
        <f t="array" ref="N13:N19">IF(N12="","",_xlfn._xlws.FILTER(RAW[[#All],[Room Type]],RAW[[#All],[Hotel / Resort Name ]]=Sheet2!N$12))</f>
        <v>Patio</v>
      </c>
      <c r="O13" t="str" cm="1">
        <f t="array" ref="O13:O19">IF(O12="","",_xlfn._xlws.FILTER(RAW[[#All],[Room Type]],RAW[[#All],[Hotel / Resort Name ]]=Sheet2!O$12))</f>
        <v>Patio</v>
      </c>
      <c r="P13" t="str" cm="1">
        <f t="array" ref="P13:P18">IF(P12="","",_xlfn._xlws.FILTER(RAW[[#All],[Room Type]],RAW[[#All],[Hotel / Resort Name ]]=Sheet2!P$12))</f>
        <v>Deluxe Room</v>
      </c>
      <c r="Q13" t="str" cm="1">
        <f t="array" ref="Q13:Q18">IF(Q12="","",_xlfn._xlws.FILTER(RAW[[#All],[Room Type]],RAW[[#All],[Hotel / Resort Name ]]=Sheet2!Q$12))</f>
        <v>Deluxe Room</v>
      </c>
      <c r="R13" t="str" cm="1">
        <f t="array" ref="R13:R18">IF(R12="","",_xlfn._xlws.FILTER(RAW[[#All],[Room Type]],RAW[[#All],[Hotel / Resort Name ]]=Sheet2!R$12))</f>
        <v>Deluxe Room</v>
      </c>
      <c r="S13" t="str" cm="1">
        <f t="array" ref="S13:S18">IF(S12="","",_xlfn._xlws.FILTER(RAW[[#All],[Room Type]],RAW[[#All],[Hotel / Resort Name ]]=Sheet2!S$12))</f>
        <v>Deluxe Room</v>
      </c>
      <c r="T13" t="str" cm="1">
        <f t="array" ref="T13:T18">IF(T12="","",_xlfn._xlws.FILTER(RAW[[#All],[Room Type]],RAW[[#All],[Hotel / Resort Name ]]=Sheet2!T$12))</f>
        <v>Deluxe Room</v>
      </c>
      <c r="U13" t="str" cm="1">
        <f t="array" ref="U13:U18">IF(U12="","",_xlfn._xlws.FILTER(RAW[[#All],[Room Type]],RAW[[#All],[Hotel / Resort Name ]]=Sheet2!U$12))</f>
        <v>Deluxe Room</v>
      </c>
      <c r="V13" t="str" cm="1">
        <f t="array" ref="V13">IF(V12="","",_xlfn._xlws.FILTER(RAW[[#All],[Room Type]],RAW[[#All],[Hotel / Resort Name ]]=Sheet2!V$12))</f>
        <v>Standard Room</v>
      </c>
      <c r="W13" t="str" cm="1">
        <f t="array" ref="W13:W23">IF(W12="","",_xlfn._xlws.FILTER(RAW[[#All],[Room Type]],RAW[[#All],[Hotel / Resort Name ]]=Sheet2!W$12))</f>
        <v>Atrium room</v>
      </c>
      <c r="X13" t="str" cm="1">
        <f t="array" ref="X13:X23">IF(X12="","",_xlfn._xlws.FILTER(RAW[[#All],[Room Type]],RAW[[#All],[Hotel / Resort Name ]]=Sheet2!X$12))</f>
        <v>Atrium room</v>
      </c>
      <c r="Y13" t="str" cm="1">
        <f t="array" ref="Y13:Y23">IF(Y12="","",_xlfn._xlws.FILTER(RAW[[#All],[Room Type]],RAW[[#All],[Hotel / Resort Name ]]=Sheet2!Y$12))</f>
        <v>Atrium room</v>
      </c>
      <c r="Z13" t="str" cm="1">
        <f t="array" ref="Z13:Z23">IF(Z12="","",_xlfn._xlws.FILTER(RAW[[#All],[Room Type]],RAW[[#All],[Hotel / Resort Name ]]=Sheet2!Z$12))</f>
        <v>Atrium room</v>
      </c>
      <c r="AA13" t="str" cm="1">
        <f t="array" ref="AA13:AA23">IF(AA12="","",_xlfn._xlws.FILTER(RAW[[#All],[Room Type]],RAW[[#All],[Hotel / Resort Name ]]=Sheet2!AA$12))</f>
        <v>Atrium room</v>
      </c>
      <c r="AB13" t="str" cm="1">
        <f t="array" ref="AB13:AB23">IF(AB12="","",_xlfn._xlws.FILTER(RAW[[#All],[Room Type]],RAW[[#All],[Hotel / Resort Name ]]=Sheet2!AB$12))</f>
        <v>Atrium room</v>
      </c>
      <c r="AC13" t="str" cm="1">
        <f t="array" ref="AC13:AC23">IF(AC12="","",_xlfn._xlws.FILTER(RAW[[#All],[Room Type]],RAW[[#All],[Hotel / Resort Name ]]=Sheet2!AC$12))</f>
        <v>Atrium room</v>
      </c>
      <c r="AD13" t="str" cm="1">
        <f t="array" ref="AD13:AD23">IF(AD12="","",_xlfn._xlws.FILTER(RAW[[#All],[Room Type]],RAW[[#All],[Hotel / Resort Name ]]=Sheet2!AD$12))</f>
        <v>Atrium room</v>
      </c>
      <c r="AE13" t="str" cm="1">
        <f t="array" ref="AE13:AE23">IF(AE12="","",_xlfn._xlws.FILTER(RAW[[#All],[Room Type]],RAW[[#All],[Hotel / Resort Name ]]=Sheet2!AE$12))</f>
        <v>Atrium room</v>
      </c>
      <c r="AF13" t="str" cm="1">
        <f t="array" ref="AF13:AF23">IF(AF12="","",_xlfn._xlws.FILTER(RAW[[#All],[Room Type]],RAW[[#All],[Hotel / Resort Name ]]=Sheet2!AF$12))</f>
        <v>Atrium room</v>
      </c>
      <c r="AG13" t="str" cm="1">
        <f t="array" ref="AG13:AG23">IF(AG12="","",_xlfn._xlws.FILTER(RAW[[#All],[Room Type]],RAW[[#All],[Hotel / Resort Name ]]=Sheet2!AG$12))</f>
        <v>Atrium room</v>
      </c>
      <c r="AH13" t="str" cm="1">
        <f t="array" ref="AH13:AH14">IF(AH12="","",_xlfn._xlws.FILTER(RAW[[#All],[Room Type]],RAW[[#All],[Hotel / Resort Name ]]=Sheet2!AH$12))</f>
        <v>Deluxe</v>
      </c>
      <c r="AI13" t="str" cm="1">
        <f t="array" ref="AI13:AI14">IF(AI12="","",_xlfn._xlws.FILTER(RAW[[#All],[Room Type]],RAW[[#All],[Hotel / Resort Name ]]=Sheet2!AI$12))</f>
        <v>Deluxe</v>
      </c>
      <c r="AJ13" t="str" cm="1">
        <f t="array" ref="AJ13:AJ21">IF(AJ12="","",_xlfn._xlws.FILTER(RAW[[#All],[Room Type]],RAW[[#All],[Hotel / Resort Name ]]=Sheet2!AJ$12))</f>
        <v xml:space="preserve">Lakeview Deluxe Room </v>
      </c>
      <c r="AK13" t="str" cm="1">
        <f t="array" ref="AK13:AK21">IF(AK12="","",_xlfn._xlws.FILTER(RAW[[#All],[Room Type]],RAW[[#All],[Hotel / Resort Name ]]=Sheet2!AK$12))</f>
        <v xml:space="preserve">Lakeview Deluxe Room </v>
      </c>
      <c r="AL13" t="str" cm="1">
        <f t="array" ref="AL13:AL21">IF(AL12="","",_xlfn._xlws.FILTER(RAW[[#All],[Room Type]],RAW[[#All],[Hotel / Resort Name ]]=Sheet2!AL$12))</f>
        <v xml:space="preserve">Lakeview Deluxe Room </v>
      </c>
      <c r="AM13" t="str" cm="1">
        <f t="array" ref="AM13:AM21">IF(AM12="","",_xlfn._xlws.FILTER(RAW[[#All],[Room Type]],RAW[[#All],[Hotel / Resort Name ]]=Sheet2!AM$12))</f>
        <v xml:space="preserve">Lakeview Deluxe Room </v>
      </c>
      <c r="AN13" t="str" cm="1">
        <f t="array" ref="AN13:AN21">IF(AN12="","",_xlfn._xlws.FILTER(RAW[[#All],[Room Type]],RAW[[#All],[Hotel / Resort Name ]]=Sheet2!AN$12))</f>
        <v xml:space="preserve">Lakeview Deluxe Room </v>
      </c>
      <c r="AO13" t="str" cm="1">
        <f t="array" ref="AO13:AO21">IF(AO12="","",_xlfn._xlws.FILTER(RAW[[#All],[Room Type]],RAW[[#All],[Hotel / Resort Name ]]=Sheet2!AO$12))</f>
        <v xml:space="preserve">Lakeview Deluxe Room </v>
      </c>
      <c r="AP13" t="str" cm="1">
        <f t="array" ref="AP13:AP21">IF(AP12="","",_xlfn._xlws.FILTER(RAW[[#All],[Room Type]],RAW[[#All],[Hotel / Resort Name ]]=Sheet2!AP$12))</f>
        <v xml:space="preserve">Lakeview Deluxe Room </v>
      </c>
      <c r="AQ13" t="str" cm="1">
        <f t="array" ref="AQ13:AQ21">IF(AQ12="","",_xlfn._xlws.FILTER(RAW[[#All],[Room Type]],RAW[[#All],[Hotel / Resort Name ]]=Sheet2!AQ$12))</f>
        <v xml:space="preserve">Lakeview Deluxe Room </v>
      </c>
      <c r="AR13" t="str" cm="1">
        <f t="array" ref="AR13:AR21">IF(AR12="","",_xlfn._xlws.FILTER(RAW[[#All],[Room Type]],RAW[[#All],[Hotel / Resort Name ]]=Sheet2!AR$12))</f>
        <v xml:space="preserve">Lakeview Deluxe Room </v>
      </c>
      <c r="AS13" t="str" cm="1">
        <f t="array" ref="AS13:AS20">IF(AS12="","",_xlfn._xlws.FILTER(RAW[[#All],[Room Type]],RAW[[#All],[Hotel / Resort Name ]]=Sheet2!AS$12))</f>
        <v xml:space="preserve">Mystica </v>
      </c>
      <c r="AT13" t="str" cm="1">
        <f t="array" ref="AT13:AT20">IF(AT12="","",_xlfn._xlws.FILTER(RAW[[#All],[Room Type]],RAW[[#All],[Hotel / Resort Name ]]=Sheet2!AT$12))</f>
        <v xml:space="preserve">Mystica </v>
      </c>
      <c r="AU13" t="str" cm="1">
        <f t="array" ref="AU13:AU20">IF(AU12="","",_xlfn._xlws.FILTER(RAW[[#All],[Room Type]],RAW[[#All],[Hotel / Resort Name ]]=Sheet2!AU$12))</f>
        <v xml:space="preserve">Mystica </v>
      </c>
      <c r="AV13" t="str" cm="1">
        <f t="array" ref="AV13:AV20">IF(AV12="","",_xlfn._xlws.FILTER(RAW[[#All],[Room Type]],RAW[[#All],[Hotel / Resort Name ]]=Sheet2!AV$12))</f>
        <v xml:space="preserve">Mystica </v>
      </c>
      <c r="AW13" t="str" cm="1">
        <f t="array" ref="AW13:AW20">IF(AW12="","",_xlfn._xlws.FILTER(RAW[[#All],[Room Type]],RAW[[#All],[Hotel / Resort Name ]]=Sheet2!AW$12))</f>
        <v xml:space="preserve">Mystica </v>
      </c>
      <c r="AX13" t="str" cm="1">
        <f t="array" ref="AX13:AX20">IF(AX12="","",_xlfn._xlws.FILTER(RAW[[#All],[Room Type]],RAW[[#All],[Hotel / Resort Name ]]=Sheet2!AX$12))</f>
        <v xml:space="preserve">Mystica </v>
      </c>
      <c r="AY13" t="str" cm="1">
        <f t="array" ref="AY13:AY20">IF(AY12="","",_xlfn._xlws.FILTER(RAW[[#All],[Room Type]],RAW[[#All],[Hotel / Resort Name ]]=Sheet2!AY$12))</f>
        <v xml:space="preserve">Mystica </v>
      </c>
      <c r="AZ13" t="str" cm="1">
        <f t="array" ref="AZ13:AZ20">IF(AZ12="","",_xlfn._xlws.FILTER(RAW[[#All],[Room Type]],RAW[[#All],[Hotel / Resort Name ]]=Sheet2!AZ$12))</f>
        <v xml:space="preserve">Mystica </v>
      </c>
      <c r="BA13" t="str" cm="1">
        <f t="array" ref="BA13:BA18">IF(BA12="","",_xlfn._xlws.FILTER(RAW[[#All],[Room Type]],RAW[[#All],[Hotel / Resort Name ]]=Sheet2!BA$12))</f>
        <v>Executive Room</v>
      </c>
      <c r="BB13" t="str" cm="1">
        <f t="array" ref="BB13:BB18">IF(BB12="","",_xlfn._xlws.FILTER(RAW[[#All],[Room Type]],RAW[[#All],[Hotel / Resort Name ]]=Sheet2!BB$12))</f>
        <v>Executive Room</v>
      </c>
      <c r="BC13" t="str" cm="1">
        <f t="array" ref="BC13:BC18">IF(BC12="","",_xlfn._xlws.FILTER(RAW[[#All],[Room Type]],RAW[[#All],[Hotel / Resort Name ]]=Sheet2!BC$12))</f>
        <v>Executive Room</v>
      </c>
      <c r="BD13" t="str" cm="1">
        <f t="array" ref="BD13:BD18">IF(BD12="","",_xlfn._xlws.FILTER(RAW[[#All],[Room Type]],RAW[[#All],[Hotel / Resort Name ]]=Sheet2!BD$12))</f>
        <v>Executive Room</v>
      </c>
      <c r="BE13" t="str" cm="1">
        <f t="array" ref="BE13:BE18">IF(BE12="","",_xlfn._xlws.FILTER(RAW[[#All],[Room Type]],RAW[[#All],[Hotel / Resort Name ]]=Sheet2!BE$12))</f>
        <v>Executive Room</v>
      </c>
      <c r="BF13" t="str" cm="1">
        <f t="array" ref="BF13:BF18">IF(BF12="","",_xlfn._xlws.FILTER(RAW[[#All],[Room Type]],RAW[[#All],[Hotel / Resort Name ]]=Sheet2!BF$12))</f>
        <v>Executive Room</v>
      </c>
      <c r="BG13" t="str" cm="1">
        <f t="array" ref="BG13:BG17">IF(BG12="","",_xlfn._xlws.FILTER(RAW[[#All],[Room Type]],RAW[[#All],[Hotel / Resort Name ]]=Sheet2!BG$12))</f>
        <v>Deluxe Room (With Balcony)</v>
      </c>
      <c r="BH13" t="str" cm="1">
        <f t="array" ref="BH13:BH17">IF(BH12="","",_xlfn._xlws.FILTER(RAW[[#All],[Room Type]],RAW[[#All],[Hotel / Resort Name ]]=Sheet2!BH$12))</f>
        <v>Deluxe Room (With Balcony)</v>
      </c>
      <c r="BI13" t="str" cm="1">
        <f t="array" ref="BI13:BI17">IF(BI12="","",_xlfn._xlws.FILTER(RAW[[#All],[Room Type]],RAW[[#All],[Hotel / Resort Name ]]=Sheet2!BI$12))</f>
        <v>Executive Room</v>
      </c>
      <c r="BJ13" t="str" cm="1">
        <f t="array" ref="BJ13:BJ17">IF(BJ12="","",_xlfn._xlws.FILTER(RAW[[#All],[Room Type]],RAW[[#All],[Hotel / Resort Name ]]=Sheet2!BJ$12))</f>
        <v>Executive Room</v>
      </c>
      <c r="BK13" t="str" cm="1">
        <f t="array" ref="BK13:BK17">IF(BK12="","",_xlfn._xlws.FILTER(RAW[[#All],[Room Type]],RAW[[#All],[Hotel / Resort Name ]]=Sheet2!BK$12))</f>
        <v>Valley View Cottage (With Balcony)</v>
      </c>
      <c r="BL13" t="str" cm="1">
        <f t="array" ref="BL13:BL17">IF(BL12="","",_xlfn._xlws.FILTER(RAW[[#All],[Room Type]],RAW[[#All],[Hotel / Resort Name ]]=Sheet2!BL$12))</f>
        <v>Valley View Cottage (With Balcony)</v>
      </c>
      <c r="BM13" t="str" cm="1">
        <f t="array" ref="BM13:BM18">IF(BM12="","",_xlfn._xlws.FILTER(RAW[[#All],[Room Type]],RAW[[#All],[Hotel / Resort Name ]]=Sheet2!BM$12))</f>
        <v>Deluxe Room</v>
      </c>
      <c r="BN13" t="str" cm="1">
        <f t="array" ref="BN13:BN18">IF(BN12="","",_xlfn._xlws.FILTER(RAW[[#All],[Room Type]],RAW[[#All],[Hotel / Resort Name ]]=Sheet2!BN$12))</f>
        <v>Deluxe Room</v>
      </c>
      <c r="BO13" t="str" cm="1">
        <f t="array" ref="BO13:BO17">IF(BO12="","",_xlfn._xlws.FILTER(RAW[[#All],[Room Type]],RAW[[#All],[Hotel / Resort Name ]]=Sheet2!BO$12))</f>
        <v>Deluxe Room</v>
      </c>
      <c r="BP13" t="str" cm="1">
        <f t="array" ref="BP13:BP17">IF(BP12="","",_xlfn._xlws.FILTER(RAW[[#All],[Room Type]],RAW[[#All],[Hotel / Resort Name ]]=Sheet2!BP$12))</f>
        <v>Deluxe Room</v>
      </c>
      <c r="BQ13" t="str" cm="1">
        <f t="array" ref="BQ13:BQ17">IF(BQ12="","",_xlfn._xlws.FILTER(RAW[[#All],[Room Type]],RAW[[#All],[Hotel / Resort Name ]]=Sheet2!BQ$12))</f>
        <v>Deluxe Room</v>
      </c>
      <c r="BR13" t="str" cm="1">
        <f t="array" ref="BR13:BR17">IF(BR12="","",_xlfn._xlws.FILTER(RAW[[#All],[Room Type]],RAW[[#All],[Hotel / Resort Name ]]=Sheet2!BR$12))</f>
        <v>Deluxe Room</v>
      </c>
      <c r="BS13" t="str" cm="1">
        <f t="array" ref="BS13:BS17">IF(BS$12&lt;&gt;"",_xlfn.UNIQUE(_xlfn._xlws.FILTER(RAW[[#All],[Room Type]],RAW[[#All],[Hotel / Resort Name ]]=Sheet2!BS$12)),"")</f>
        <v>Deluxe Room</v>
      </c>
      <c r="BT13" t="str" cm="1">
        <f t="array" ref="BT13:BT14">IF(BT$12&lt;&gt;"",_xlfn.UNIQUE(_xlfn._xlws.FILTER(RAW[[#All],[Room Type]],RAW[[#All],[Hotel / Resort Name ]]=Sheet2!BT$12)),"")</f>
        <v xml:space="preserve">Standard </v>
      </c>
      <c r="BU13" t="str" cm="1">
        <f t="array" ref="BU13:BU14">IF(BU$12&lt;&gt;"",_xlfn.UNIQUE(_xlfn._xlws.FILTER(RAW[[#All],[Room Type]],RAW[[#All],[Hotel / Resort Name ]]=Sheet2!BU$12)),"")</f>
        <v xml:space="preserve">Standard </v>
      </c>
      <c r="BV13" t="str" cm="1">
        <f t="array" ref="BV13:BV18">IF(BV$12&lt;&gt;"",_xlfn.UNIQUE(_xlfn._xlws.FILTER(RAW[[#All],[Room Type]],RAW[[#All],[Hotel / Resort Name ]]=Sheet2!BV$12)),"")</f>
        <v>Royal Deluxe</v>
      </c>
      <c r="BW13" t="str" cm="1">
        <f t="array" ref="BW13:BW18">IF(BW$12&lt;&gt;"",_xlfn.UNIQUE(_xlfn._xlws.FILTER(RAW[[#All],[Room Type]],RAW[[#All],[Hotel / Resort Name ]]=Sheet2!BW$12)),"")</f>
        <v>Royal Deluxe</v>
      </c>
      <c r="BX13" t="str" cm="1">
        <f t="array" ref="BX13:BX18">IF(BX$12&lt;&gt;"",_xlfn.UNIQUE(_xlfn._xlws.FILTER(RAW[[#All],[Room Type]],RAW[[#All],[Hotel / Resort Name ]]=Sheet2!BX$12)),"")</f>
        <v>Royal Deluxe</v>
      </c>
      <c r="BY13" t="str" cm="1">
        <f t="array" ref="BY13:BY18">IF(BY$12&lt;&gt;"",_xlfn.UNIQUE(_xlfn._xlws.FILTER(RAW[[#All],[Room Type]],RAW[[#All],[Hotel / Resort Name ]]=Sheet2!BY$12)),"")</f>
        <v>Royal Deluxe</v>
      </c>
      <c r="BZ13" t="str" cm="1">
        <f t="array" ref="BZ13:BZ18">IF(BZ$12&lt;&gt;"",_xlfn.UNIQUE(_xlfn._xlws.FILTER(RAW[[#All],[Room Type]],RAW[[#All],[Hotel / Resort Name ]]=Sheet2!BZ$12)),"")</f>
        <v>Royal Deluxe</v>
      </c>
      <c r="CA13" t="str" cm="1">
        <f t="array" ref="CA13:CA18">IF(CA$12&lt;&gt;"",_xlfn.UNIQUE(_xlfn._xlws.FILTER(RAW[[#All],[Room Type]],RAW[[#All],[Hotel / Resort Name ]]=Sheet2!CA$12)),"")</f>
        <v>Royal Deluxe</v>
      </c>
      <c r="CB13" t="str" cm="1">
        <f t="array" ref="CB13:CB19">IF(CB$12&lt;&gt;"",_xlfn.UNIQUE(_xlfn._xlws.FILTER(RAW[[#All],[Room Type]],RAW[[#All],[Hotel / Resort Name ]]=Sheet2!CB$12)),"")</f>
        <v xml:space="preserve"> Deluxe</v>
      </c>
      <c r="CC13" t="str" cm="1">
        <f t="array" ref="CC13:CC19">IF(CC$12&lt;&gt;"",_xlfn.UNIQUE(_xlfn._xlws.FILTER(RAW[[#All],[Room Type]],RAW[[#All],[Hotel / Resort Name ]]=Sheet2!CC$12)),"")</f>
        <v xml:space="preserve"> Deluxe</v>
      </c>
      <c r="CD13" t="str" cm="1">
        <f t="array" ref="CD13:CD19">IF(CD$12&lt;&gt;"",_xlfn.UNIQUE(_xlfn._xlws.FILTER(RAW[[#All],[Room Type]],RAW[[#All],[Hotel / Resort Name ]]=Sheet2!CD$12)),"")</f>
        <v xml:space="preserve"> Deluxe</v>
      </c>
      <c r="CE13" t="str" cm="1">
        <f t="array" ref="CE13:CE19">IF(CE$12&lt;&gt;"",_xlfn.UNIQUE(_xlfn._xlws.FILTER(RAW[[#All],[Room Type]],RAW[[#All],[Hotel / Resort Name ]]=Sheet2!CE$12)),"")</f>
        <v xml:space="preserve"> Deluxe</v>
      </c>
      <c r="CF13" t="str" cm="1">
        <f t="array" ref="CF13:CF19">IF(CF$12&lt;&gt;"",_xlfn.UNIQUE(_xlfn._xlws.FILTER(RAW[[#All],[Room Type]],RAW[[#All],[Hotel / Resort Name ]]=Sheet2!CF$12)),"")</f>
        <v xml:space="preserve"> Deluxe</v>
      </c>
      <c r="CG13" t="str" cm="1">
        <f t="array" ref="CG13:CG19">IF(CG$12&lt;&gt;"",_xlfn.UNIQUE(_xlfn._xlws.FILTER(RAW[[#All],[Room Type]],RAW[[#All],[Hotel / Resort Name ]]=Sheet2!CG$12)),"")</f>
        <v xml:space="preserve"> Deluxe</v>
      </c>
      <c r="CH13" t="str" cm="1">
        <f t="array" ref="CH13:CH19">IF(CH$12&lt;&gt;"",_xlfn.UNIQUE(_xlfn._xlws.FILTER(RAW[[#All],[Room Type]],RAW[[#All],[Hotel / Resort Name ]]=Sheet2!CH$12)),"")</f>
        <v xml:space="preserve"> Deluxe</v>
      </c>
      <c r="CI13" t="str" cm="1">
        <f t="array" ref="CI13:CI21">IF(CI$12&lt;&gt;"",_xlfn.UNIQUE(_xlfn._xlws.FILTER(RAW[[#All],[Room Type]],RAW[[#All],[Hotel / Resort Name ]]=Sheet2!CI$12)),"")</f>
        <v>Valley View Deluxe</v>
      </c>
      <c r="CJ13" t="str" cm="1">
        <f t="array" ref="CJ13:CJ21">IF(CJ$12&lt;&gt;"",_xlfn.UNIQUE(_xlfn._xlws.FILTER(RAW[[#All],[Room Type]],RAW[[#All],[Hotel / Resort Name ]]=Sheet2!CJ$12)),"")</f>
        <v>Valley View Deluxe</v>
      </c>
      <c r="CK13" t="str" cm="1">
        <f t="array" ref="CK13:CK21">IF(CK$12&lt;&gt;"",_xlfn.UNIQUE(_xlfn._xlws.FILTER(RAW[[#All],[Room Type]],RAW[[#All],[Hotel / Resort Name ]]=Sheet2!CK$12)),"")</f>
        <v>Valley View Deluxe</v>
      </c>
      <c r="CL13" t="str" cm="1">
        <f t="array" ref="CL13:CL21">IF(CL$12&lt;&gt;"",_xlfn.UNIQUE(_xlfn._xlws.FILTER(RAW[[#All],[Room Type]],RAW[[#All],[Hotel / Resort Name ]]=Sheet2!CL$12)),"")</f>
        <v>Valley View Deluxe</v>
      </c>
      <c r="CM13" t="str" cm="1">
        <f t="array" ref="CM13:CM21">IF(CM$12&lt;&gt;"",_xlfn.UNIQUE(_xlfn._xlws.FILTER(RAW[[#All],[Room Type]],RAW[[#All],[Hotel / Resort Name ]]=Sheet2!CM$12)),"")</f>
        <v>Valley View Deluxe</v>
      </c>
      <c r="CN13" t="str" cm="1">
        <f t="array" ref="CN13:CN21">IF(CN$12&lt;&gt;"",_xlfn.UNIQUE(_xlfn._xlws.FILTER(RAW[[#All],[Room Type]],RAW[[#All],[Hotel / Resort Name ]]=Sheet2!CN$12)),"")</f>
        <v>Valley View Deluxe</v>
      </c>
      <c r="CO13" t="str" cm="1">
        <f t="array" ref="CO13:CO21">IF(CO$12&lt;&gt;"",_xlfn.UNIQUE(_xlfn._xlws.FILTER(RAW[[#All],[Room Type]],RAW[[#All],[Hotel / Resort Name ]]=Sheet2!CO$12)),"")</f>
        <v>Valley View Deluxe</v>
      </c>
      <c r="CP13" t="str" cm="1">
        <f t="array" ref="CP13:CP21">IF(CP$12&lt;&gt;"",_xlfn.UNIQUE(_xlfn._xlws.FILTER(RAW[[#All],[Room Type]],RAW[[#All],[Hotel / Resort Name ]]=Sheet2!CP$12)),"")</f>
        <v>Valley View Deluxe</v>
      </c>
      <c r="CQ13" t="str" cm="1">
        <f t="array" ref="CQ13:CQ21">IF(CQ$12&lt;&gt;"",_xlfn.UNIQUE(_xlfn._xlws.FILTER(RAW[[#All],[Room Type]],RAW[[#All],[Hotel / Resort Name ]]=Sheet2!CQ$12)),"")</f>
        <v>Valley View Deluxe</v>
      </c>
      <c r="CR13" t="str" cm="1">
        <f t="array" ref="CR13:CR17">IF(CR$12&lt;&gt;"",_xlfn.UNIQUE(_xlfn._xlws.FILTER(RAW[[#All],[Room Type]],RAW[[#All],[Hotel / Resort Name ]]=Sheet2!CR$12)),"")</f>
        <v>Deluxe Room (With Balcony)</v>
      </c>
      <c r="CS13" t="str" cm="1">
        <f t="array" ref="CS13:CS20">IF(CS$12&lt;&gt;"",_xlfn.UNIQUE(_xlfn._xlws.FILTER(RAW[[#All],[Room Type]],RAW[[#All],[Hotel / Resort Name ]]=Sheet2!CS$12)),"")</f>
        <v>Jungle View Deluxe (Non A/c)</v>
      </c>
      <c r="CT13" t="str" cm="1">
        <f t="array" ref="CT13:CT20">IF(CT$12&lt;&gt;"",_xlfn.UNIQUE(_xlfn._xlws.FILTER(RAW[[#All],[Room Type]],RAW[[#All],[Hotel / Resort Name ]]=Sheet2!CT$12)),"")</f>
        <v>Jungle View Deluxe (Non A/c)</v>
      </c>
      <c r="CU13" t="str" cm="1">
        <f t="array" ref="CU13:CU20">IF(CU$12&lt;&gt;"",_xlfn.UNIQUE(_xlfn._xlws.FILTER(RAW[[#All],[Room Type]],RAW[[#All],[Hotel / Resort Name ]]=Sheet2!CU$12)),"")</f>
        <v>Jungle View Deluxe (Non A/c)</v>
      </c>
      <c r="CV13" t="str" cm="1">
        <f t="array" ref="CV13:CV20">IF(CV$12&lt;&gt;"",_xlfn.UNIQUE(_xlfn._xlws.FILTER(RAW[[#All],[Room Type]],RAW[[#All],[Hotel / Resort Name ]]=Sheet2!CV$12)),"")</f>
        <v>Jungle View Deluxe (Non A/c)</v>
      </c>
      <c r="CW13" t="str" cm="1">
        <f t="array" ref="CW13:CW20">IF(CW$12&lt;&gt;"",_xlfn.UNIQUE(_xlfn._xlws.FILTER(RAW[[#All],[Room Type]],RAW[[#All],[Hotel / Resort Name ]]=Sheet2!CW$12)),"")</f>
        <v>Jungle View Deluxe (Non A/c)</v>
      </c>
      <c r="CX13" t="str" cm="1">
        <f t="array" ref="CX13:CX20">IF(CX$12&lt;&gt;"",_xlfn.UNIQUE(_xlfn._xlws.FILTER(RAW[[#All],[Room Type]],RAW[[#All],[Hotel / Resort Name ]]=Sheet2!CX$12)),"")</f>
        <v>Jungle View Deluxe (Non A/c)</v>
      </c>
      <c r="CY13" t="str" cm="1">
        <f t="array" ref="CY13:CY20">IF(CY$12&lt;&gt;"",_xlfn.UNIQUE(_xlfn._xlws.FILTER(RAW[[#All],[Room Type]],RAW[[#All],[Hotel / Resort Name ]]=Sheet2!CY$12)),"")</f>
        <v>Jungle View Deluxe (Non A/c)</v>
      </c>
      <c r="CZ13" t="str" cm="1">
        <f t="array" ref="CZ13:CZ20">IF(CZ$12&lt;&gt;"",_xlfn.UNIQUE(_xlfn._xlws.FILTER(RAW[[#All],[Room Type]],RAW[[#All],[Hotel / Resort Name ]]=Sheet2!CZ$12)),"")</f>
        <v>Jungle View Deluxe (Non A/c)</v>
      </c>
      <c r="DA13" t="str" cm="1">
        <f t="array" ref="DA13:DA17">IF(DA$12&lt;&gt;"",_xlfn.UNIQUE(_xlfn._xlws.FILTER(RAW[[#All],[Room Type]],RAW[[#All],[Hotel / Resort Name ]]=Sheet2!DA$12)),"")</f>
        <v>Valley View Cottage (With Balcony)</v>
      </c>
      <c r="DB13" t="str" cm="1">
        <f t="array" ref="DB13">IF(DB$12&lt;&gt;"",_xlfn.UNIQUE(_xlfn._xlws.FILTER(RAW[[#All],[Room Type]],RAW[[#All],[Hotel / Resort Name ]]=Sheet2!DB$12)),"")</f>
        <v>A Day Cruise without room Checkin 1pm to Checkout 5:30pm same day ,Veg</v>
      </c>
      <c r="DC13" t="str" cm="1">
        <f t="array" ref="DC13:DC21">IF(DC$12&lt;&gt;"",_xlfn.UNIQUE(_xlfn._xlws.FILTER(RAW[[#All],[Room Type]],RAW[[#All],[Hotel / Resort Name ]]=Sheet2!DC$12)),"")</f>
        <v xml:space="preserve">Sea Shell (Partial Sea View) </v>
      </c>
      <c r="DD13" t="str" cm="1">
        <f t="array" ref="DD13:DD21">IF(DD$12&lt;&gt;"",_xlfn.UNIQUE(_xlfn._xlws.FILTER(RAW[[#All],[Room Type]],RAW[[#All],[Hotel / Resort Name ]]=Sheet2!DD$12)),"")</f>
        <v xml:space="preserve">Sea Shell (Partial Sea View) </v>
      </c>
      <c r="DE13" t="str" cm="1">
        <f t="array" ref="DE13:DE21">IF(DE$12&lt;&gt;"",_xlfn.UNIQUE(_xlfn._xlws.FILTER(RAW[[#All],[Room Type]],RAW[[#All],[Hotel / Resort Name ]]=Sheet2!DE$12)),"")</f>
        <v xml:space="preserve">Sea Shell (Partial Sea View) </v>
      </c>
      <c r="DF13" t="str" cm="1">
        <f t="array" ref="DF13:DF21">IF(DF$12&lt;&gt;"",_xlfn.UNIQUE(_xlfn._xlws.FILTER(RAW[[#All],[Room Type]],RAW[[#All],[Hotel / Resort Name ]]=Sheet2!DF$12)),"")</f>
        <v xml:space="preserve">Sea Shell (Partial Sea View) </v>
      </c>
      <c r="DG13" t="str" cm="1">
        <f t="array" ref="DG13:DG21">IF(DG$12&lt;&gt;"",_xlfn.UNIQUE(_xlfn._xlws.FILTER(RAW[[#All],[Room Type]],RAW[[#All],[Hotel / Resort Name ]]=Sheet2!DG$12)),"")</f>
        <v xml:space="preserve">Sea Shell (Partial Sea View) </v>
      </c>
      <c r="DH13" t="str" cm="1">
        <f t="array" ref="DH13:DH21">IF(DH$12&lt;&gt;"",_xlfn.UNIQUE(_xlfn._xlws.FILTER(RAW[[#All],[Room Type]],RAW[[#All],[Hotel / Resort Name ]]=Sheet2!DH$12)),"")</f>
        <v xml:space="preserve">Sea Shell (Partial Sea View) </v>
      </c>
      <c r="DI13" t="str" cm="1">
        <f t="array" ref="DI13:DI19">IF(DI$12&lt;&gt;"",_xlfn.UNIQUE(_xlfn._xlws.FILTER(RAW[[#All],[Room Type]],RAW[[#All],[Hotel / Resort Name ]]=Sheet2!DI$12)),"")</f>
        <v>Garden View</v>
      </c>
      <c r="DJ13" t="str" cm="1">
        <f t="array" ref="DJ13:DJ19">IF(DJ$12&lt;&gt;"",_xlfn.UNIQUE(_xlfn._xlws.FILTER(RAW[[#All],[Room Type]],RAW[[#All],[Hotel / Resort Name ]]=Sheet2!DJ$12)),"")</f>
        <v>Garden View</v>
      </c>
      <c r="DK13" t="str" cm="1">
        <f t="array" ref="DK13:DK19">IF(DK$12&lt;&gt;"",_xlfn.UNIQUE(_xlfn._xlws.FILTER(RAW[[#All],[Room Type]],RAW[[#All],[Hotel / Resort Name ]]=Sheet2!DK$12)),"")</f>
        <v>Garden View</v>
      </c>
      <c r="DL13" t="str" cm="1">
        <f t="array" ref="DL13:DL19">IF(DL$12&lt;&gt;"",_xlfn.UNIQUE(_xlfn._xlws.FILTER(RAW[[#All],[Room Type]],RAW[[#All],[Hotel / Resort Name ]]=Sheet2!DL$12)),"")</f>
        <v>Garden View</v>
      </c>
      <c r="DM13" t="str" cm="1">
        <f t="array" ref="DM13:DM19">IF(DM$12&lt;&gt;"",_xlfn.UNIQUE(_xlfn._xlws.FILTER(RAW[[#All],[Room Type]],RAW[[#All],[Hotel / Resort Name ]]=Sheet2!DM$12)),"")</f>
        <v>Garden View</v>
      </c>
      <c r="DN13" t="str" cm="1">
        <f t="array" ref="DN13:DN19">IF(DN$12&lt;&gt;"",_xlfn.UNIQUE(_xlfn._xlws.FILTER(RAW[[#All],[Room Type]],RAW[[#All],[Hotel / Resort Name ]]=Sheet2!DN$12)),"")</f>
        <v>Garden View</v>
      </c>
      <c r="DO13" t="str" cm="1">
        <f t="array" ref="DO13:DO19">IF(DO$12&lt;&gt;"",_xlfn.UNIQUE(_xlfn._xlws.FILTER(RAW[[#All],[Room Type]],RAW[[#All],[Hotel / Resort Name ]]=Sheet2!DO$12)),"")</f>
        <v>Garden View</v>
      </c>
      <c r="DP13" t="str" cm="1">
        <f t="array" ref="DP13:DP18">IF(DP$12&lt;&gt;"",_xlfn.UNIQUE(_xlfn._xlws.FILTER(RAW[[#All],[Room Type]],RAW[[#All],[Hotel / Resort Name ]]=Sheet2!DP$12)),"")</f>
        <v>Deluxe Room</v>
      </c>
      <c r="DQ13" t="str" cm="1">
        <f t="array" ref="DQ13:DQ18">IF(DQ$12&lt;&gt;"",_xlfn.UNIQUE(_xlfn._xlws.FILTER(RAW[[#All],[Room Type]],RAW[[#All],[Hotel / Resort Name ]]=Sheet2!DQ$12)),"")</f>
        <v>Deluxe Room</v>
      </c>
      <c r="DR13" t="str" cm="1">
        <f t="array" ref="DR13:DR18">IF(DR$12&lt;&gt;"",_xlfn.UNIQUE(_xlfn._xlws.FILTER(RAW[[#All],[Room Type]],RAW[[#All],[Hotel / Resort Name ]]=Sheet2!DR$12)),"")</f>
        <v>Deluxe Room</v>
      </c>
      <c r="DS13" t="str" cm="1">
        <f t="array" ref="DS13:DS19">IF(DS$12&lt;&gt;"",_xlfn.UNIQUE(_xlfn._xlws.FILTER(RAW[[#All],[Room Type]],RAW[[#All],[Hotel / Resort Name ]]=Sheet2!DS$12)),"")</f>
        <v>Marvellous Mountain View</v>
      </c>
      <c r="DT13" t="str" cm="1">
        <f t="array" ref="DT13:DT19">IF(DT$12&lt;&gt;"",_xlfn.UNIQUE(_xlfn._xlws.FILTER(RAW[[#All],[Room Type]],RAW[[#All],[Hotel / Resort Name ]]=Sheet2!DT$12)),"")</f>
        <v>Marvellous Mountain View</v>
      </c>
      <c r="DU13" t="str" cm="1">
        <f t="array" ref="DU13:DU19">IF(DU$12&lt;&gt;"",_xlfn.UNIQUE(_xlfn._xlws.FILTER(RAW[[#All],[Room Type]],RAW[[#All],[Hotel / Resort Name ]]=Sheet2!DU$12)),"")</f>
        <v>Marvellous Mountain View</v>
      </c>
      <c r="DV13" t="str" cm="1">
        <f t="array" ref="DV13:DV19">IF(DV$12&lt;&gt;"",_xlfn.UNIQUE(_xlfn._xlws.FILTER(RAW[[#All],[Room Type]],RAW[[#All],[Hotel / Resort Name ]]=Sheet2!DV$12)),"")</f>
        <v>Marvellous Mountain View</v>
      </c>
      <c r="DW13" t="str" cm="1">
        <f t="array" ref="DW13:DW19">IF(DW$12&lt;&gt;"",_xlfn.UNIQUE(_xlfn._xlws.FILTER(RAW[[#All],[Room Type]],RAW[[#All],[Hotel / Resort Name ]]=Sheet2!DW$12)),"")</f>
        <v>Marvellous Mountain View</v>
      </c>
      <c r="DX13" t="str" cm="1">
        <f t="array" ref="DX13:DX19">IF(DX$12&lt;&gt;"",_xlfn.UNIQUE(_xlfn._xlws.FILTER(RAW[[#All],[Room Type]],RAW[[#All],[Hotel / Resort Name ]]=Sheet2!DX$12)),"")</f>
        <v>Marvellous Mountain View</v>
      </c>
      <c r="DY13" t="str" cm="1">
        <f t="array" ref="DY13:DY19">IF(DY$12&lt;&gt;"",_xlfn.UNIQUE(_xlfn._xlws.FILTER(RAW[[#All],[Room Type]],RAW[[#All],[Hotel / Resort Name ]]=Sheet2!DY$12)),"")</f>
        <v>Marvellous Mountain View</v>
      </c>
      <c r="DZ13" t="str" cm="1">
        <f t="array" ref="DZ13:DZ20">IF(DZ$12&lt;&gt;"",_xlfn.UNIQUE(_xlfn._xlws.FILTER(RAW[[#All],[Room Type]],RAW[[#All],[Hotel / Resort Name ]]=Sheet2!DZ$12)),"")</f>
        <v>Standard Room</v>
      </c>
      <c r="EA13" t="str" cm="1">
        <f t="array" ref="EA13:EA20">IF(EA$12&lt;&gt;"",_xlfn.UNIQUE(_xlfn._xlws.FILTER(RAW[[#All],[Room Type]],RAW[[#All],[Hotel / Resort Name ]]=Sheet2!EA$12)),"")</f>
        <v>Standard Room</v>
      </c>
      <c r="EB13" t="str" cm="1">
        <f t="array" ref="EB13:EB20">IF(EB$12&lt;&gt;"",_xlfn.UNIQUE(_xlfn._xlws.FILTER(RAW[[#All],[Room Type]],RAW[[#All],[Hotel / Resort Name ]]=Sheet2!EB$12)),"")</f>
        <v>Standard Room</v>
      </c>
      <c r="EC13" t="str" cm="1">
        <f t="array" ref="EC13:EC20">IF(EC$12&lt;&gt;"",_xlfn.UNIQUE(_xlfn._xlws.FILTER(RAW[[#All],[Room Type]],RAW[[#All],[Hotel / Resort Name ]]=Sheet2!EC$12)),"")</f>
        <v>Standard Room</v>
      </c>
      <c r="ED13" t="str" cm="1">
        <f t="array" ref="ED13:ED20">IF(ED$12&lt;&gt;"",_xlfn.UNIQUE(_xlfn._xlws.FILTER(RAW[[#All],[Room Type]],RAW[[#All],[Hotel / Resort Name ]]=Sheet2!ED$12)),"")</f>
        <v>Standard Room</v>
      </c>
      <c r="EE13" t="str" cm="1">
        <f t="array" ref="EE13:EE20">IF(EE$12&lt;&gt;"",_xlfn.UNIQUE(_xlfn._xlws.FILTER(RAW[[#All],[Room Type]],RAW[[#All],[Hotel / Resort Name ]]=Sheet2!EE$12)),"")</f>
        <v>Standard Room</v>
      </c>
      <c r="EF13" t="str" cm="1">
        <f t="array" ref="EF13:EF20">IF(EF$12&lt;&gt;"",_xlfn.UNIQUE(_xlfn._xlws.FILTER(RAW[[#All],[Room Type]],RAW[[#All],[Hotel / Resort Name ]]=Sheet2!EF$12)),"")</f>
        <v>Standard Room</v>
      </c>
      <c r="EG13" t="str" cm="1">
        <f t="array" ref="EG13:EG20">IF(EG$12&lt;&gt;"",_xlfn.UNIQUE(_xlfn._xlws.FILTER(RAW[[#All],[Room Type]],RAW[[#All],[Hotel / Resort Name ]]=Sheet2!EG$12)),"")</f>
        <v>Standard Room</v>
      </c>
      <c r="EH13" t="str" cm="1">
        <f t="array" ref="EH13:EH17">IF(EH$12&lt;&gt;"",_xlfn.UNIQUE(_xlfn._xlws.FILTER(RAW[[#All],[Room Type]],RAW[[#All],[Hotel / Resort Name ]]=Sheet2!EH$12)),"")</f>
        <v>Deluxe Room (With Balcony)</v>
      </c>
      <c r="EI13" t="str" cm="1">
        <f t="array" ref="EI13:EI17">IF(EI$12&lt;&gt;"",_xlfn.UNIQUE(_xlfn._xlws.FILTER(RAW[[#All],[Room Type]],RAW[[#All],[Hotel / Resort Name ]]=Sheet2!EI$12)),"")</f>
        <v>Deluxe Room (With Balcony)</v>
      </c>
      <c r="EJ13" t="str" cm="1">
        <f t="array" ref="EJ13:EJ21">IF(EJ$12&lt;&gt;"",_xlfn.UNIQUE(_xlfn._xlws.FILTER(RAW[[#All],[Room Type]],RAW[[#All],[Hotel / Resort Name ]]=Sheet2!EJ$12)),"")</f>
        <v xml:space="preserve">Sea Shell (Partial Sea View) </v>
      </c>
      <c r="EK13" t="str" cm="1">
        <f t="array" ref="EK13:EK21">IF(EK$12&lt;&gt;"",_xlfn.UNIQUE(_xlfn._xlws.FILTER(RAW[[#All],[Room Type]],RAW[[#All],[Hotel / Resort Name ]]=Sheet2!EK$12)),"")</f>
        <v xml:space="preserve">Sea Shell (Partial Sea View) </v>
      </c>
      <c r="EL13" t="str" cm="1">
        <f t="array" ref="EL13:EL21">IF(EL$12&lt;&gt;"",_xlfn.UNIQUE(_xlfn._xlws.FILTER(RAW[[#All],[Room Type]],RAW[[#All],[Hotel / Resort Name ]]=Sheet2!EL$12)),"")</f>
        <v xml:space="preserve">Sea Shell (Partial Sea View) </v>
      </c>
      <c r="EM13" t="str" cm="1">
        <f t="array" ref="EM13:EM17">IF(EM$12&lt;&gt;"",_xlfn.UNIQUE(_xlfn._xlws.FILTER(RAW[[#All],[Room Type]],RAW[[#All],[Hotel / Resort Name ]]=Sheet2!EM$12)),"")</f>
        <v>Valley View Cottage (With Balcony)</v>
      </c>
      <c r="EN13" t="str" cm="1">
        <f t="array" ref="EN13:EN17">IF(EN$12&lt;&gt;"",_xlfn.UNIQUE(_xlfn._xlws.FILTER(RAW[[#All],[Room Type]],RAW[[#All],[Hotel / Resort Name ]]=Sheet2!EN$12)),"")</f>
        <v>Valley View Cottage (With Balcony)</v>
      </c>
      <c r="EO13" t="str" cm="1">
        <f t="array" ref="EO13:EO21">IF(EO$12&lt;&gt;"",_xlfn.UNIQUE(_xlfn._xlws.FILTER(RAW[[#All],[Room Type]],RAW[[#All],[Hotel / Resort Name ]]=Sheet2!EO$12)),"")</f>
        <v>Lagoona Standard Sea View</v>
      </c>
      <c r="EP13" t="str" cm="1">
        <f t="array" ref="EP13:EP21">IF(EP$12&lt;&gt;"",_xlfn.UNIQUE(_xlfn._xlws.FILTER(RAW[[#All],[Room Type]],RAW[[#All],[Hotel / Resort Name ]]=Sheet2!EP$12)),"")</f>
        <v>Lagoona Standard Sea View</v>
      </c>
      <c r="EQ13" t="str" cm="1">
        <f t="array" ref="EQ13:EQ21">IF(EQ$12&lt;&gt;"",_xlfn.UNIQUE(_xlfn._xlws.FILTER(RAW[[#All],[Room Type]],RAW[[#All],[Hotel / Resort Name ]]=Sheet2!EQ$12)),"")</f>
        <v>Lagoona Standard Sea View</v>
      </c>
      <c r="ER13" t="str" cm="1">
        <f t="array" ref="ER13:ER21">IF(ER$12&lt;&gt;"",_xlfn.UNIQUE(_xlfn._xlws.FILTER(RAW[[#All],[Room Type]],RAW[[#All],[Hotel / Resort Name ]]=Sheet2!ER$12)),"")</f>
        <v>Lagoona Standard Sea View</v>
      </c>
      <c r="ES13" t="str" cm="1">
        <f t="array" ref="ES13:ES21">IF(ES$12&lt;&gt;"",_xlfn.UNIQUE(_xlfn._xlws.FILTER(RAW[[#All],[Room Type]],RAW[[#All],[Hotel / Resort Name ]]=Sheet2!ES$12)),"")</f>
        <v>Lagoona Standard Sea View</v>
      </c>
      <c r="ET13" t="str" cm="1">
        <f t="array" ref="ET13:ET21">IF(ET$12&lt;&gt;"",_xlfn.UNIQUE(_xlfn._xlws.FILTER(RAW[[#All],[Room Type]],RAW[[#All],[Hotel / Resort Name ]]=Sheet2!ET$12)),"")</f>
        <v>Lagoona Standard Sea View</v>
      </c>
      <c r="EU13" t="str" cm="1">
        <f t="array" ref="EU13:EU21">IF(EU$12&lt;&gt;"",_xlfn.UNIQUE(_xlfn._xlws.FILTER(RAW[[#All],[Room Type]],RAW[[#All],[Hotel / Resort Name ]]=Sheet2!EU$12)),"")</f>
        <v>Lagoona Standard Sea View</v>
      </c>
      <c r="EV13" t="str" cm="1">
        <f t="array" ref="EV13:EV21">IF(EV$12&lt;&gt;"",_xlfn.UNIQUE(_xlfn._xlws.FILTER(RAW[[#All],[Room Type]],RAW[[#All],[Hotel / Resort Name ]]=Sheet2!EV$12)),"")</f>
        <v>Lagoona Standard Sea View</v>
      </c>
      <c r="EW13" t="str" cm="1">
        <f t="array" ref="EW13:EW21">IF(EW$12&lt;&gt;"",_xlfn.UNIQUE(_xlfn._xlws.FILTER(RAW[[#All],[Room Type]],RAW[[#All],[Hotel / Resort Name ]]=Sheet2!EW$12)),"")</f>
        <v>Lagoona Standard Sea View</v>
      </c>
      <c r="EX13" t="str" cm="1">
        <f t="array" ref="EX13:EX17">IF(EX$12&lt;&gt;"",_xlfn.UNIQUE(_xlfn._xlws.FILTER(RAW[[#All],[Room Type]],RAW[[#All],[Hotel / Resort Name ]]=Sheet2!EX$12)),"")</f>
        <v>Executive Room</v>
      </c>
      <c r="EY13" t="str" cm="1">
        <f t="array" ref="EY13:EY17">IF(EY$12&lt;&gt;"",_xlfn.UNIQUE(_xlfn._xlws.FILTER(RAW[[#All],[Room Type]],RAW[[#All],[Hotel / Resort Name ]]=Sheet2!EY$12)),"")</f>
        <v>Executive Room</v>
      </c>
      <c r="EZ13" t="str" cm="1">
        <f t="array" ref="EZ13:EZ17">IF(EZ$12&lt;&gt;"",_xlfn.UNIQUE(_xlfn._xlws.FILTER(RAW[[#All],[Room Type]],RAW[[#All],[Hotel / Resort Name ]]=Sheet2!EZ$12)),"")</f>
        <v>Executive Room</v>
      </c>
      <c r="FA13" t="str" cm="1">
        <f t="array" ref="FA13:FA22">IF(FA$12&lt;&gt;"",_xlfn.UNIQUE(_xlfn._xlws.FILTER(RAW[[#All],[Room Type]],RAW[[#All],[Hotel / Resort Name ]]=Sheet2!FA$12)),"")</f>
        <v xml:space="preserve">Dutch Room </v>
      </c>
      <c r="FB13" t="str" cm="1">
        <f t="array" ref="FB13:FB22">IF(FB$12&lt;&gt;"",_xlfn.UNIQUE(_xlfn._xlws.FILTER(RAW[[#All],[Room Type]],RAW[[#All],[Hotel / Resort Name ]]=Sheet2!FB$12)),"")</f>
        <v xml:space="preserve">Dutch Room </v>
      </c>
      <c r="FC13" t="str" cm="1">
        <f t="array" ref="FC13:FC22">IF(FC$12&lt;&gt;"",_xlfn.UNIQUE(_xlfn._xlws.FILTER(RAW[[#All],[Room Type]],RAW[[#All],[Hotel / Resort Name ]]=Sheet2!FC$12)),"")</f>
        <v xml:space="preserve">Dutch Room </v>
      </c>
      <c r="FD13" t="str" cm="1">
        <f t="array" ref="FD13:FD22">IF(FD$12&lt;&gt;"",_xlfn.UNIQUE(_xlfn._xlws.FILTER(RAW[[#All],[Room Type]],RAW[[#All],[Hotel / Resort Name ]]=Sheet2!FD$12)),"")</f>
        <v xml:space="preserve">Dutch Room </v>
      </c>
      <c r="FE13" t="str" cm="1">
        <f t="array" ref="FE13:FE22">IF(FE$12&lt;&gt;"",_xlfn.UNIQUE(_xlfn._xlws.FILTER(RAW[[#All],[Room Type]],RAW[[#All],[Hotel / Resort Name ]]=Sheet2!FE$12)),"")</f>
        <v xml:space="preserve">Dutch Room </v>
      </c>
      <c r="FF13" t="str" cm="1">
        <f t="array" ref="FF13:FF22">IF(FF$12&lt;&gt;"",_xlfn.UNIQUE(_xlfn._xlws.FILTER(RAW[[#All],[Room Type]],RAW[[#All],[Hotel / Resort Name ]]=Sheet2!FF$12)),"")</f>
        <v xml:space="preserve">Dutch Room </v>
      </c>
      <c r="FG13" t="str" cm="1">
        <f t="array" ref="FG13:FG22">IF(FG$12&lt;&gt;"",_xlfn.UNIQUE(_xlfn._xlws.FILTER(RAW[[#All],[Room Type]],RAW[[#All],[Hotel / Resort Name ]]=Sheet2!FG$12)),"")</f>
        <v xml:space="preserve">Dutch Room </v>
      </c>
      <c r="FH13" t="str" cm="1">
        <f t="array" ref="FH13:FH22">IF(FH$12&lt;&gt;"",_xlfn.UNIQUE(_xlfn._xlws.FILTER(RAW[[#All],[Room Type]],RAW[[#All],[Hotel / Resort Name ]]=Sheet2!FH$12)),"")</f>
        <v xml:space="preserve">Dutch Room </v>
      </c>
      <c r="FI13" t="str" cm="1">
        <f t="array" ref="FI13:FI22">IF(FI$12&lt;&gt;"",_xlfn.UNIQUE(_xlfn._xlws.FILTER(RAW[[#All],[Room Type]],RAW[[#All],[Hotel / Resort Name ]]=Sheet2!FI$12)),"")</f>
        <v xml:space="preserve">Dutch Room </v>
      </c>
      <c r="FJ13" t="str" cm="1">
        <f t="array" ref="FJ13:FJ22">IF(FJ$12&lt;&gt;"",_xlfn.UNIQUE(_xlfn._xlws.FILTER(RAW[[#All],[Room Type]],RAW[[#All],[Hotel / Resort Name ]]=Sheet2!FJ$12)),"")</f>
        <v xml:space="preserve">Dutch Room </v>
      </c>
      <c r="FK13" t="str" cm="1">
        <f t="array" ref="FK13:FK18">IF(FK$12&lt;&gt;"",_xlfn.UNIQUE(_xlfn._xlws.FILTER(RAW[[#All],[Room Type]],RAW[[#All],[Hotel / Resort Name ]]=Sheet2!FK$12)),"")</f>
        <v>Standard Room Non AC</v>
      </c>
      <c r="FL13" t="str" cm="1">
        <f t="array" ref="FL13:FL18">IF(FL$12&lt;&gt;"",_xlfn.UNIQUE(_xlfn._xlws.FILTER(RAW[[#All],[Room Type]],RAW[[#All],[Hotel / Resort Name ]]=Sheet2!FL$12)),"")</f>
        <v>Standard Room Non AC</v>
      </c>
      <c r="FM13" t="str" cm="1">
        <f t="array" ref="FM13:FM18">IF(FM$12&lt;&gt;"",_xlfn.UNIQUE(_xlfn._xlws.FILTER(RAW[[#All],[Room Type]],RAW[[#All],[Hotel / Resort Name ]]=Sheet2!FM$12)),"")</f>
        <v>Standard Room Non AC</v>
      </c>
      <c r="FN13" t="str" cm="1">
        <f t="array" ref="FN13:FN18">IF(FN$12&lt;&gt;"",_xlfn.UNIQUE(_xlfn._xlws.FILTER(RAW[[#All],[Room Type]],RAW[[#All],[Hotel / Resort Name ]]=Sheet2!FN$12)),"")</f>
        <v>Standard Room Non AC</v>
      </c>
      <c r="FO13" t="str" cm="1">
        <f t="array" ref="FO13:FO18">IF(FO$12&lt;&gt;"",_xlfn.UNIQUE(_xlfn._xlws.FILTER(RAW[[#All],[Room Type]],RAW[[#All],[Hotel / Resort Name ]]=Sheet2!FO$12)),"")</f>
        <v>Standard Room Non AC</v>
      </c>
      <c r="FP13" t="str" cm="1">
        <f t="array" ref="FP13:FP18">IF(FP$12&lt;&gt;"",_xlfn.UNIQUE(_xlfn._xlws.FILTER(RAW[[#All],[Room Type]],RAW[[#All],[Hotel / Resort Name ]]=Sheet2!FP$12)),"")</f>
        <v>Standard Room Non AC</v>
      </c>
      <c r="FQ13" t="str" cm="1">
        <f t="array" ref="FQ13:FQ14">IF(FQ$12&lt;&gt;"",_xlfn.UNIQUE(_xlfn._xlws.FILTER(RAW[[#All],[Room Type]],RAW[[#All],[Hotel / Resort Name ]]=Sheet2!FQ$12)),"")</f>
        <v>Day Cruise 12 PM-5PM</v>
      </c>
      <c r="FR13" t="str" cm="1">
        <f t="array" ref="FR13:FR14">IF(FR$12&lt;&gt;"",_xlfn.UNIQUE(_xlfn._xlws.FILTER(RAW[[#All],[Room Type]],RAW[[#All],[Hotel / Resort Name ]]=Sheet2!FR$12)),"")</f>
        <v>Day Cruise 12 PM-5PM</v>
      </c>
      <c r="FS13" t="str" cm="1">
        <f t="array" ref="FS13:FS14">IF(FS$12&lt;&gt;"",_xlfn.UNIQUE(_xlfn._xlws.FILTER(RAW[[#All],[Room Type]],RAW[[#All],[Hotel / Resort Name ]]=Sheet2!FS$12)),"")</f>
        <v>Day Cruise 12 PM-5PM</v>
      </c>
      <c r="FT13" t="str" cm="1">
        <f t="array" ref="FT13:FT14">IF(FT$12&lt;&gt;"",_xlfn.UNIQUE(_xlfn._xlws.FILTER(RAW[[#All],[Room Type]],RAW[[#All],[Hotel / Resort Name ]]=Sheet2!FT$12)),"")</f>
        <v>Day Cruise 12 PM-5PM</v>
      </c>
      <c r="FU13" t="str" cm="1">
        <f t="array" ref="FU13:FU17">IF(FU$12&lt;&gt;"",_xlfn.UNIQUE(_xlfn._xlws.FILTER(RAW[[#All],[Room Type]],RAW[[#All],[Hotel / Resort Name ]]=Sheet2!FU$12)),"")</f>
        <v>DLX AC DBL Palm View</v>
      </c>
      <c r="FV13" t="str" cm="1">
        <f t="array" ref="FV13:FV17">IF(FV$12&lt;&gt;"",_xlfn.UNIQUE(_xlfn._xlws.FILTER(RAW[[#All],[Room Type]],RAW[[#All],[Hotel / Resort Name ]]=Sheet2!FV$12)),"")</f>
        <v>DLX AC DBL Palm View</v>
      </c>
      <c r="FW13" t="str" cm="1">
        <f t="array" ref="FW13:FW17">IF(FW$12&lt;&gt;"",_xlfn.UNIQUE(_xlfn._xlws.FILTER(RAW[[#All],[Room Type]],RAW[[#All],[Hotel / Resort Name ]]=Sheet2!FW$12)),"")</f>
        <v>DLX AC DBL Palm View</v>
      </c>
      <c r="FX13" t="str" cm="1">
        <f t="array" ref="FX13:FX17">IF(FX$12&lt;&gt;"",_xlfn.UNIQUE(_xlfn._xlws.FILTER(RAW[[#All],[Room Type]],RAW[[#All],[Hotel / Resort Name ]]=Sheet2!FX$12)),"")</f>
        <v>DLX AC DBL Palm View</v>
      </c>
      <c r="FY13" t="str" cm="1">
        <f t="array" ref="FY13:FY17">IF(FY$12&lt;&gt;"",_xlfn.UNIQUE(_xlfn._xlws.FILTER(RAW[[#All],[Room Type]],RAW[[#All],[Hotel / Resort Name ]]=Sheet2!FY$12)),"")</f>
        <v>DLX AC DBL Palm View</v>
      </c>
      <c r="FZ13" t="str" cm="1">
        <f t="array" ref="FZ13:FZ21">IF(FZ$12&lt;&gt;"",_xlfn.UNIQUE(_xlfn._xlws.FILTER(RAW[[#All],[Room Type]],RAW[[#All],[Hotel / Resort Name ]]=Sheet2!FZ$12)),"")</f>
        <v>Deluxe AC</v>
      </c>
      <c r="GA13" t="str" cm="1">
        <f t="array" ref="GA13:GA21">IF(GA$12&lt;&gt;"",_xlfn.UNIQUE(_xlfn._xlws.FILTER(RAW[[#All],[Room Type]],RAW[[#All],[Hotel / Resort Name ]]=Sheet2!GA$12)),"")</f>
        <v>Deluxe AC</v>
      </c>
      <c r="GB13" t="str" cm="1">
        <f t="array" ref="GB13:GB21">IF(GB$12&lt;&gt;"",_xlfn.UNIQUE(_xlfn._xlws.FILTER(RAW[[#All],[Room Type]],RAW[[#All],[Hotel / Resort Name ]]=Sheet2!GB$12)),"")</f>
        <v>Deluxe AC</v>
      </c>
      <c r="GC13" t="str" cm="1">
        <f t="array" ref="GC13:GC21">IF(GC$12&lt;&gt;"",_xlfn.UNIQUE(_xlfn._xlws.FILTER(RAW[[#All],[Room Type]],RAW[[#All],[Hotel / Resort Name ]]=Sheet2!GC$12)),"")</f>
        <v>Deluxe AC</v>
      </c>
      <c r="GD13" t="str" cm="1">
        <f t="array" ref="GD13:GD21">IF(GD$12&lt;&gt;"",_xlfn.UNIQUE(_xlfn._xlws.FILTER(RAW[[#All],[Room Type]],RAW[[#All],[Hotel / Resort Name ]]=Sheet2!GD$12)),"")</f>
        <v>Deluxe AC</v>
      </c>
      <c r="GE13" t="str" cm="1">
        <f t="array" ref="GE13:GE21">IF(GE$12&lt;&gt;"",_xlfn.UNIQUE(_xlfn._xlws.FILTER(RAW[[#All],[Room Type]],RAW[[#All],[Hotel / Resort Name ]]=Sheet2!GE$12)),"")</f>
        <v>Deluxe AC</v>
      </c>
      <c r="GF13" t="str" cm="1">
        <f t="array" ref="GF13:GF21">IF(GF$12&lt;&gt;"",_xlfn.UNIQUE(_xlfn._xlws.FILTER(RAW[[#All],[Room Type]],RAW[[#All],[Hotel / Resort Name ]]=Sheet2!GF$12)),"")</f>
        <v>Deluxe AC</v>
      </c>
      <c r="GG13" t="str" cm="1">
        <f t="array" ref="GG13:GG21">IF(GG$12&lt;&gt;"",_xlfn.UNIQUE(_xlfn._xlws.FILTER(RAW[[#All],[Room Type]],RAW[[#All],[Hotel / Resort Name ]]=Sheet2!GG$12)),"")</f>
        <v>Deluxe AC</v>
      </c>
      <c r="GH13" t="str" cm="1">
        <f t="array" ref="GH13:GH21">IF(GH$12&lt;&gt;"",_xlfn.UNIQUE(_xlfn._xlws.FILTER(RAW[[#All],[Room Type]],RAW[[#All],[Hotel / Resort Name ]]=Sheet2!GH$12)),"")</f>
        <v>Deluxe AC</v>
      </c>
      <c r="GI13" t="str" cm="1">
        <f t="array" ref="GI13:GI17">IF(GI$12&lt;&gt;"",_xlfn.UNIQUE(_xlfn._xlws.FILTER(RAW[[#All],[Room Type]],RAW[[#All],[Hotel / Resort Name ]]=Sheet2!GI$12)),"")</f>
        <v>Premium Villa</v>
      </c>
      <c r="GJ13" t="str" cm="1">
        <f t="array" ref="GJ13:GJ17">IF(GJ$12&lt;&gt;"",_xlfn.UNIQUE(_xlfn._xlws.FILTER(RAW[[#All],[Room Type]],RAW[[#All],[Hotel / Resort Name ]]=Sheet2!GJ$12)),"")</f>
        <v>Premium Villa</v>
      </c>
      <c r="GK13" t="str" cm="1">
        <f t="array" ref="GK13:GK17">IF(GK$12&lt;&gt;"",_xlfn.UNIQUE(_xlfn._xlws.FILTER(RAW[[#All],[Room Type]],RAW[[#All],[Hotel / Resort Name ]]=Sheet2!GK$12)),"")</f>
        <v>Premium Villa</v>
      </c>
      <c r="GL13" t="str" cm="1">
        <f t="array" ref="GL13:GL17">IF(GL$12&lt;&gt;"",_xlfn.UNIQUE(_xlfn._xlws.FILTER(RAW[[#All],[Room Type]],RAW[[#All],[Hotel / Resort Name ]]=Sheet2!GL$12)),"")</f>
        <v>Premium Villa</v>
      </c>
      <c r="GM13" t="str" cm="1">
        <f t="array" ref="GM13:GM17">IF(GM$12&lt;&gt;"",_xlfn.UNIQUE(_xlfn._xlws.FILTER(RAW[[#All],[Room Type]],RAW[[#All],[Hotel / Resort Name ]]=Sheet2!GM$12)),"")</f>
        <v>Premium Villa</v>
      </c>
      <c r="GN13" t="str" cm="1">
        <f t="array" ref="GN13">IF(GN$12&lt;&gt;"",_xlfn.UNIQUE(_xlfn._xlws.FILTER(RAW[[#All],[Room Type]],RAW[[#All],[Hotel / Resort Name ]]=Sheet2!GN$12)),"")</f>
        <v/>
      </c>
      <c r="GO13" t="str" cm="1">
        <f t="array" ref="GO13">IF(GO$12&lt;&gt;"",_xlfn.UNIQUE(_xlfn._xlws.FILTER(RAW[[#All],[Room Type]],RAW[[#All],[Hotel / Resort Name ]]=Sheet2!GO$12)),"")</f>
        <v/>
      </c>
      <c r="GP13" t="str" cm="1">
        <f t="array" ref="GP13">IF(GP$12&lt;&gt;"",_xlfn.UNIQUE(_xlfn._xlws.FILTER(RAW[[#All],[Room Type]],RAW[[#All],[Hotel / Resort Name ]]=Sheet2!GP$12)),"")</f>
        <v/>
      </c>
      <c r="GQ13" t="str" cm="1">
        <f t="array" ref="GQ13">IF(GQ$12&lt;&gt;"",_xlfn.UNIQUE(_xlfn._xlws.FILTER(RAW[[#All],[Room Type]],RAW[[#All],[Hotel / Resort Name ]]=Sheet2!GQ$12)),"")</f>
        <v/>
      </c>
      <c r="GR13" t="str" cm="1">
        <f t="array" ref="GR13">IF(GR$12&lt;&gt;"",_xlfn.UNIQUE(_xlfn._xlws.FILTER(RAW[[#All],[Room Type]],RAW[[#All],[Hotel / Resort Name ]]=Sheet2!GR$12)),"")</f>
        <v/>
      </c>
      <c r="GS13" t="str" cm="1">
        <f t="array" ref="GS13">IF(GS$12&lt;&gt;"",_xlfn.UNIQUE(_xlfn._xlws.FILTER(RAW[[#All],[Room Type]],RAW[[#All],[Hotel / Resort Name ]]=Sheet2!GS$12)),"")</f>
        <v/>
      </c>
      <c r="GT13" t="str" cm="1">
        <f t="array" ref="GT13">IF(GT$12&lt;&gt;"",_xlfn.UNIQUE(_xlfn._xlws.FILTER(RAW[[#All],[Room Type]],RAW[[#All],[Hotel / Resort Name ]]=Sheet2!GT$12)),"")</f>
        <v/>
      </c>
      <c r="GU13" t="str" cm="1">
        <f t="array" ref="GU13">IF(GU$12&lt;&gt;"",_xlfn.UNIQUE(_xlfn._xlws.FILTER(RAW[[#All],[Room Type]],RAW[[#All],[Hotel / Resort Name ]]=Sheet2!GU$12)),"")</f>
        <v/>
      </c>
      <c r="GV13" t="str" cm="1">
        <f t="array" ref="GV13">IF(GV$12&lt;&gt;"",_xlfn.UNIQUE(_xlfn._xlws.FILTER(RAW[[#All],[Room Type]],RAW[[#All],[Hotel / Resort Name ]]=Sheet2!GV$12)),"")</f>
        <v/>
      </c>
      <c r="GW13" t="str" cm="1">
        <f t="array" ref="GW13">IF(GW$12&lt;&gt;"",_xlfn.UNIQUE(_xlfn._xlws.FILTER(RAW[[#All],[Room Type]],RAW[[#All],[Hotel / Resort Name ]]=Sheet2!GW$12)),"")</f>
        <v/>
      </c>
      <c r="GX13" t="str" cm="1">
        <f t="array" ref="GX13">IF(GX$12&lt;&gt;"",_xlfn.UNIQUE(_xlfn._xlws.FILTER(RAW[[#All],[Room Type]],RAW[[#All],[Hotel / Resort Name ]]=Sheet2!GX$12)),"")</f>
        <v/>
      </c>
      <c r="GY13" t="str" cm="1">
        <f t="array" ref="GY13">IF(GY$12&lt;&gt;"",_xlfn.UNIQUE(_xlfn._xlws.FILTER(RAW[[#All],[Room Type]],RAW[[#All],[Hotel / Resort Name ]]=Sheet2!GY$12)),"")</f>
        <v/>
      </c>
      <c r="GZ13" t="str" cm="1">
        <f t="array" ref="GZ13">IF(GZ$12&lt;&gt;"",_xlfn.UNIQUE(_xlfn._xlws.FILTER(RAW[[#All],[Room Type]],RAW[[#All],[Hotel / Resort Name ]]=Sheet2!GZ$12)),"")</f>
        <v/>
      </c>
      <c r="HA13" t="str" cm="1">
        <f t="array" ref="HA13">IF(HA$12&lt;&gt;"",_xlfn.UNIQUE(_xlfn._xlws.FILTER(RAW[[#All],[Room Type]],RAW[[#All],[Hotel / Resort Name ]]=Sheet2!HA$12)),"")</f>
        <v/>
      </c>
      <c r="HB13" t="str" cm="1">
        <f t="array" ref="HB13">IF(HB$12&lt;&gt;"",_xlfn.UNIQUE(_xlfn._xlws.FILTER(RAW[[#All],[Room Type]],RAW[[#All],[Hotel / Resort Name ]]=Sheet2!HB$12)),"")</f>
        <v/>
      </c>
      <c r="HC13" t="str" cm="1">
        <f t="array" ref="HC13">IF(HC$12&lt;&gt;"",_xlfn.UNIQUE(_xlfn._xlws.FILTER(RAW[[#All],[Room Type]],RAW[[#All],[Hotel / Resort Name ]]=Sheet2!HC$12)),"")</f>
        <v/>
      </c>
      <c r="HD13" t="str" cm="1">
        <f t="array" ref="HD13">IF(HD$12&lt;&gt;"",_xlfn.UNIQUE(_xlfn._xlws.FILTER(RAW[[#All],[Room Type]],RAW[[#All],[Hotel / Resort Name ]]=Sheet2!HD$12)),"")</f>
        <v/>
      </c>
      <c r="HE13" t="str" cm="1">
        <f t="array" ref="HE13">IF(HE$12&lt;&gt;"",_xlfn.UNIQUE(_xlfn._xlws.FILTER(RAW[[#All],[Room Type]],RAW[[#All],[Hotel / Resort Name ]]=Sheet2!HE$12)),"")</f>
        <v/>
      </c>
      <c r="HF13" t="str" cm="1">
        <f t="array" ref="HF13">IF(HF$12&lt;&gt;"",_xlfn.UNIQUE(_xlfn._xlws.FILTER(RAW[[#All],[Room Type]],RAW[[#All],[Hotel / Resort Name ]]=Sheet2!HF$12)),"")</f>
        <v/>
      </c>
      <c r="HG13" t="str" cm="1">
        <f t="array" ref="HG13">IF(HG$12&lt;&gt;"",_xlfn.UNIQUE(_xlfn._xlws.FILTER(RAW[[#All],[Room Type]],RAW[[#All],[Hotel / Resort Name ]]=Sheet2!HG$12)),"")</f>
        <v/>
      </c>
      <c r="HH13" t="str" cm="1">
        <f t="array" ref="HH13">IF(HH$12&lt;&gt;"",_xlfn.UNIQUE(_xlfn._xlws.FILTER(RAW[[#All],[Room Type]],RAW[[#All],[Hotel / Resort Name ]]=Sheet2!HH$12)),"")</f>
        <v/>
      </c>
      <c r="HI13" t="str" cm="1">
        <f t="array" ref="HI13">IF(HI$12&lt;&gt;"",_xlfn.UNIQUE(_xlfn._xlws.FILTER(RAW[[#All],[Room Type]],RAW[[#All],[Hotel / Resort Name ]]=Sheet2!HI$12)),"")</f>
        <v/>
      </c>
      <c r="HJ13" t="str" cm="1">
        <f t="array" ref="HJ13">IF(HJ$12&lt;&gt;"",_xlfn.UNIQUE(_xlfn._xlws.FILTER(RAW[[#All],[Room Type]],RAW[[#All],[Hotel / Resort Name ]]=Sheet2!HJ$12)),"")</f>
        <v/>
      </c>
      <c r="HK13" t="str" cm="1">
        <f t="array" ref="HK13">IF(HK$12&lt;&gt;"",_xlfn.UNIQUE(_xlfn._xlws.FILTER(RAW[[#All],[Room Type]],RAW[[#All],[Hotel / Resort Name ]]=Sheet2!HK$12)),"")</f>
        <v/>
      </c>
      <c r="HL13" t="str" cm="1">
        <f t="array" ref="HL13">IF(HL$12&lt;&gt;"",_xlfn.UNIQUE(_xlfn._xlws.FILTER(RAW[[#All],[Room Type]],RAW[[#All],[Hotel / Resort Name ]]=Sheet2!HL$12)),"")</f>
        <v/>
      </c>
      <c r="HM13" t="str" cm="1">
        <f t="array" ref="HM13">IF(HM$12&lt;&gt;"",_xlfn.UNIQUE(_xlfn._xlws.FILTER(RAW[[#All],[Room Type]],RAW[[#All],[Hotel / Resort Name ]]=Sheet2!HM$12)),"")</f>
        <v/>
      </c>
      <c r="HN13" t="str" cm="1">
        <f t="array" ref="HN13">IF(HN$12&lt;&gt;"",_xlfn.UNIQUE(_xlfn._xlws.FILTER(RAW[[#All],[Room Type]],RAW[[#All],[Hotel / Resort Name ]]=Sheet2!HN$12)),"")</f>
        <v/>
      </c>
      <c r="HO13" t="str" cm="1">
        <f t="array" ref="HO13">IF(HO$12&lt;&gt;"",_xlfn.UNIQUE(_xlfn._xlws.FILTER(RAW[[#All],[Room Type]],RAW[[#All],[Hotel / Resort Name ]]=Sheet2!HO$12)),"")</f>
        <v/>
      </c>
      <c r="HP13" t="str" cm="1">
        <f t="array" ref="HP13">IF(HP$12&lt;&gt;"",_xlfn.UNIQUE(_xlfn._xlws.FILTER(RAW[[#All],[Room Type]],RAW[[#All],[Hotel / Resort Name ]]=Sheet2!HP$12)),"")</f>
        <v/>
      </c>
      <c r="HQ13" t="str" cm="1">
        <f t="array" ref="HQ13">IF(HQ$12&lt;&gt;"",_xlfn.UNIQUE(_xlfn._xlws.FILTER(RAW[[#All],[Room Type]],RAW[[#All],[Hotel / Resort Name ]]=Sheet2!HQ$12)),"")</f>
        <v/>
      </c>
      <c r="HR13" t="str" cm="1">
        <f t="array" ref="HR13">IF(HR$12&lt;&gt;"",_xlfn.UNIQUE(_xlfn._xlws.FILTER(RAW[[#All],[Room Type]],RAW[[#All],[Hotel / Resort Name ]]=Sheet2!HR$12)),"")</f>
        <v/>
      </c>
      <c r="HS13" t="str" cm="1">
        <f t="array" ref="HS13">IF(HS$12&lt;&gt;"",_xlfn.UNIQUE(_xlfn._xlws.FILTER(RAW[[#All],[Room Type]],RAW[[#All],[Hotel / Resort Name ]]=Sheet2!HS$12)),"")</f>
        <v/>
      </c>
      <c r="HT13" t="str" cm="1">
        <f t="array" ref="HT13">IF(HT$12&lt;&gt;"",_xlfn.UNIQUE(_xlfn._xlws.FILTER(RAW[[#All],[Room Type]],RAW[[#All],[Hotel / Resort Name ]]=Sheet2!HT$12)),"")</f>
        <v/>
      </c>
      <c r="HU13" t="str" cm="1">
        <f t="array" ref="HU13">IF(HU$12&lt;&gt;"",_xlfn.UNIQUE(_xlfn._xlws.FILTER(RAW[[#All],[Room Type]],RAW[[#All],[Hotel / Resort Name ]]=Sheet2!HU$12)),"")</f>
        <v/>
      </c>
      <c r="HV13" t="str" cm="1">
        <f t="array" ref="HV13">IF(HV$12&lt;&gt;"",_xlfn.UNIQUE(_xlfn._xlws.FILTER(RAW[[#All],[Room Type]],RAW[[#All],[Hotel / Resort Name ]]=Sheet2!HV$12)),"")</f>
        <v/>
      </c>
      <c r="HW13" t="str" cm="1">
        <f t="array" ref="HW13">IF(HW$12&lt;&gt;"",_xlfn.UNIQUE(_xlfn._xlws.FILTER(RAW[[#All],[Room Type]],RAW[[#All],[Hotel / Resort Name ]]=Sheet2!HW$12)),"")</f>
        <v/>
      </c>
      <c r="HX13" t="str" cm="1">
        <f t="array" ref="HX13">IF(HX$12&lt;&gt;"",_xlfn.UNIQUE(_xlfn._xlws.FILTER(RAW[[#All],[Room Type]],RAW[[#All],[Hotel / Resort Name ]]=Sheet2!HX$12)),"")</f>
        <v/>
      </c>
      <c r="HY13" t="str" cm="1">
        <f t="array" ref="HY13">IF(HY$12&lt;&gt;"",_xlfn.UNIQUE(_xlfn._xlws.FILTER(RAW[[#All],[Room Type]],RAW[[#All],[Hotel / Resort Name ]]=Sheet2!HY$12)),"")</f>
        <v/>
      </c>
      <c r="HZ13" t="str" cm="1">
        <f t="array" ref="HZ13">IF(HZ$12&lt;&gt;"",_xlfn.UNIQUE(_xlfn._xlws.FILTER(RAW[[#All],[Room Type]],RAW[[#All],[Hotel / Resort Name ]]=Sheet2!HZ$12)),"")</f>
        <v/>
      </c>
      <c r="IA13" t="str" cm="1">
        <f t="array" ref="IA13">IF(IA$12&lt;&gt;"",_xlfn.UNIQUE(_xlfn._xlws.FILTER(RAW[[#All],[Room Type]],RAW[[#All],[Hotel / Resort Name ]]=Sheet2!IA$12)),"")</f>
        <v/>
      </c>
      <c r="IB13" t="str" cm="1">
        <f t="array" ref="IB13">IF(IB$12&lt;&gt;"",_xlfn.UNIQUE(_xlfn._xlws.FILTER(RAW[[#All],[Room Type]],RAW[[#All],[Hotel / Resort Name ]]=Sheet2!IB$12)),"")</f>
        <v/>
      </c>
      <c r="IC13" t="str" cm="1">
        <f t="array" ref="IC13">IF(IC$12&lt;&gt;"",_xlfn.UNIQUE(_xlfn._xlws.FILTER(RAW[[#All],[Room Type]],RAW[[#All],[Hotel / Resort Name ]]=Sheet2!IC$12)),"")</f>
        <v/>
      </c>
      <c r="ID13" t="str" cm="1">
        <f t="array" ref="ID13">IF(ID$12&lt;&gt;"",_xlfn.UNIQUE(_xlfn._xlws.FILTER(RAW[[#All],[Room Type]],RAW[[#All],[Hotel / Resort Name ]]=Sheet2!ID$12)),"")</f>
        <v/>
      </c>
      <c r="IE13" t="str" cm="1">
        <f t="array" ref="IE13">IF(IE$12&lt;&gt;"",_xlfn.UNIQUE(_xlfn._xlws.FILTER(RAW[[#All],[Room Type]],RAW[[#All],[Hotel / Resort Name ]]=Sheet2!IE$12)),"")</f>
        <v/>
      </c>
      <c r="IF13" t="str" cm="1">
        <f t="array" ref="IF13">IF(IF$12&lt;&gt;"",_xlfn.UNIQUE(_xlfn._xlws.FILTER(RAW[[#All],[Room Type]],RAW[[#All],[Hotel / Resort Name ]]=Sheet2!IF$12)),"")</f>
        <v/>
      </c>
      <c r="IG13" t="str" cm="1">
        <f t="array" ref="IG13">IF(IG$12&lt;&gt;"",_xlfn.UNIQUE(_xlfn._xlws.FILTER(RAW[[#All],[Room Type]],RAW[[#All],[Hotel / Resort Name ]]=Sheet2!IG$12)),"")</f>
        <v/>
      </c>
      <c r="IH13" t="str" cm="1">
        <f t="array" ref="IH13">IF(IH$12&lt;&gt;"",_xlfn.UNIQUE(_xlfn._xlws.FILTER(RAW[[#All],[Room Type]],RAW[[#All],[Hotel / Resort Name ]]=Sheet2!IH$12)),"")</f>
        <v/>
      </c>
      <c r="II13" t="str" cm="1">
        <f t="array" ref="II13">IF(II$12&lt;&gt;"",_xlfn.UNIQUE(_xlfn._xlws.FILTER(RAW[[#All],[Room Type]],RAW[[#All],[Hotel / Resort Name ]]=Sheet2!II$12)),"")</f>
        <v/>
      </c>
      <c r="IJ13" t="str" cm="1">
        <f t="array" ref="IJ13">IF(IJ$12&lt;&gt;"",_xlfn.UNIQUE(_xlfn._xlws.FILTER(RAW[[#All],[Room Type]],RAW[[#All],[Hotel / Resort Name ]]=Sheet2!IJ$12)),"")</f>
        <v/>
      </c>
      <c r="IK13" t="str" cm="1">
        <f t="array" ref="IK13">IF(IK$12&lt;&gt;"",_xlfn.UNIQUE(_xlfn._xlws.FILTER(RAW[[#All],[Room Type]],RAW[[#All],[Hotel / Resort Name ]]=Sheet2!IK$12)),"")</f>
        <v/>
      </c>
      <c r="IL13" t="str" cm="1">
        <f t="array" ref="IL13">IF(IL$12&lt;&gt;"",_xlfn.UNIQUE(_xlfn._xlws.FILTER(RAW[[#All],[Room Type]],RAW[[#All],[Hotel / Resort Name ]]=Sheet2!IL$12)),"")</f>
        <v/>
      </c>
      <c r="IM13" t="str" cm="1">
        <f t="array" ref="IM13">IF(IM$12&lt;&gt;"",_xlfn.UNIQUE(_xlfn._xlws.FILTER(RAW[[#All],[Room Type]],RAW[[#All],[Hotel / Resort Name ]]=Sheet2!IM$12)),"")</f>
        <v/>
      </c>
      <c r="IN13" t="str" cm="1">
        <f t="array" ref="IN13">IF(IN$12&lt;&gt;"",_xlfn.UNIQUE(_xlfn._xlws.FILTER(RAW[[#All],[Room Type]],RAW[[#All],[Hotel / Resort Name ]]=Sheet2!IN$12)),"")</f>
        <v/>
      </c>
      <c r="IO13" t="str" cm="1">
        <f t="array" ref="IO13">IF(IO$12&lt;&gt;"",_xlfn.UNIQUE(_xlfn._xlws.FILTER(RAW[[#All],[Room Type]],RAW[[#All],[Hotel / Resort Name ]]=Sheet2!IO$12)),"")</f>
        <v/>
      </c>
      <c r="IP13" t="str" cm="1">
        <f t="array" ref="IP13">IF(IP$12&lt;&gt;"",_xlfn.UNIQUE(_xlfn._xlws.FILTER(RAW[[#All],[Room Type]],RAW[[#All],[Hotel / Resort Name ]]=Sheet2!IP$12)),"")</f>
        <v/>
      </c>
      <c r="IQ13" t="str" cm="1">
        <f t="array" ref="IQ13">IF(IQ$12&lt;&gt;"",_xlfn.UNIQUE(_xlfn._xlws.FILTER(RAW[[#All],[Room Type]],RAW[[#All],[Hotel / Resort Name ]]=Sheet2!IQ$12)),"")</f>
        <v/>
      </c>
      <c r="IR13" t="str" cm="1">
        <f t="array" ref="IR13">IF(IR$12&lt;&gt;"",_xlfn.UNIQUE(_xlfn._xlws.FILTER(RAW[[#All],[Room Type]],RAW[[#All],[Hotel / Resort Name ]]=Sheet2!IR$12)),"")</f>
        <v/>
      </c>
      <c r="IS13" t="str" cm="1">
        <f t="array" ref="IS13">IF(IS$12&lt;&gt;"",_xlfn.UNIQUE(_xlfn._xlws.FILTER(RAW[[#All],[Room Type]],RAW[[#All],[Hotel / Resort Name ]]=Sheet2!IS$12)),"")</f>
        <v/>
      </c>
      <c r="IT13" t="str" cm="1">
        <f t="array" ref="IT13">IF(IT$12&lt;&gt;"",_xlfn.UNIQUE(_xlfn._xlws.FILTER(RAW[[#All],[Room Type]],RAW[[#All],[Hotel / Resort Name ]]=Sheet2!IT$12)),"")</f>
        <v/>
      </c>
      <c r="IU13" t="str" cm="1">
        <f t="array" ref="IU13">IF(IU$12&lt;&gt;"",_xlfn.UNIQUE(_xlfn._xlws.FILTER(RAW[[#All],[Room Type]],RAW[[#All],[Hotel / Resort Name ]]=Sheet2!IU$12)),"")</f>
        <v/>
      </c>
      <c r="IV13" t="str" cm="1">
        <f t="array" ref="IV13">IF(IV$12&lt;&gt;"",_xlfn.UNIQUE(_xlfn._xlws.FILTER(RAW[[#All],[Room Type]],RAW[[#All],[Hotel / Resort Name ]]=Sheet2!IV$12)),"")</f>
        <v/>
      </c>
      <c r="IW13" t="str" cm="1">
        <f t="array" ref="IW13">IF(IW$12&lt;&gt;"",_xlfn.UNIQUE(_xlfn._xlws.FILTER(RAW[[#All],[Room Type]],RAW[[#All],[Hotel / Resort Name ]]=Sheet2!IW$12)),"")</f>
        <v/>
      </c>
      <c r="IX13" t="str" cm="1">
        <f t="array" ref="IX13">IF(IX$12&lt;&gt;"",_xlfn.UNIQUE(_xlfn._xlws.FILTER(RAW[[#All],[Room Type]],RAW[[#All],[Hotel / Resort Name ]]=Sheet2!IX$12)),"")</f>
        <v/>
      </c>
      <c r="IY13" t="str" cm="1">
        <f t="array" ref="IY13">IF(IY$12&lt;&gt;"",_xlfn.UNIQUE(_xlfn._xlws.FILTER(RAW[[#All],[Room Type]],RAW[[#All],[Hotel / Resort Name ]]=Sheet2!IY$12)),"")</f>
        <v/>
      </c>
      <c r="IZ13" t="str" cm="1">
        <f t="array" ref="IZ13">IF(IZ$12&lt;&gt;"",_xlfn.UNIQUE(_xlfn._xlws.FILTER(RAW[[#All],[Room Type]],RAW[[#All],[Hotel / Resort Name ]]=Sheet2!IZ$12)),"")</f>
        <v/>
      </c>
      <c r="JA13" t="str" cm="1">
        <f t="array" ref="JA13">IF(JA$12&lt;&gt;"",_xlfn.UNIQUE(_xlfn._xlws.FILTER(RAW[[#All],[Room Type]],RAW[[#All],[Hotel / Resort Name ]]=Sheet2!JA$12)),"")</f>
        <v/>
      </c>
      <c r="JB13" t="str" cm="1">
        <f t="array" ref="JB13">IF(JB$12&lt;&gt;"",_xlfn.UNIQUE(_xlfn._xlws.FILTER(RAW[[#All],[Room Type]],RAW[[#All],[Hotel / Resort Name ]]=Sheet2!JB$12)),"")</f>
        <v/>
      </c>
      <c r="JC13" t="str" cm="1">
        <f t="array" ref="JC13">IF(JC$12&lt;&gt;"",_xlfn.UNIQUE(_xlfn._xlws.FILTER(RAW[[#All],[Room Type]],RAW[[#All],[Hotel / Resort Name ]]=Sheet2!JC$12)),"")</f>
        <v/>
      </c>
      <c r="JD13" t="str" cm="1">
        <f t="array" ref="JD13">IF(JD$12&lt;&gt;"",_xlfn.UNIQUE(_xlfn._xlws.FILTER(RAW[[#All],[Room Type]],RAW[[#All],[Hotel / Resort Name ]]=Sheet2!JD$12)),"")</f>
        <v/>
      </c>
      <c r="JE13" t="str" cm="1">
        <f t="array" ref="JE13">IF(JE$12&lt;&gt;"",_xlfn.UNIQUE(_xlfn._xlws.FILTER(RAW[[#All],[Room Type]],RAW[[#All],[Hotel / Resort Name ]]=Sheet2!JE$12)),"")</f>
        <v/>
      </c>
      <c r="JF13" t="str" cm="1">
        <f t="array" ref="JF13">IF(JF$12&lt;&gt;"",_xlfn.UNIQUE(_xlfn._xlws.FILTER(RAW[[#All],[Room Type]],RAW[[#All],[Hotel / Resort Name ]]=Sheet2!JF$12)),"")</f>
        <v/>
      </c>
      <c r="JG13" t="str" cm="1">
        <f t="array" ref="JG13">IF(JG$12&lt;&gt;"",_xlfn.UNIQUE(_xlfn._xlws.FILTER(RAW[[#All],[Room Type]],RAW[[#All],[Hotel / Resort Name ]]=Sheet2!JG$12)),"")</f>
        <v/>
      </c>
      <c r="JH13" t="str" cm="1">
        <f t="array" ref="JH13">IF(JH$12&lt;&gt;"",_xlfn.UNIQUE(_xlfn._xlws.FILTER(RAW[[#All],[Room Type]],RAW[[#All],[Hotel / Resort Name ]]=Sheet2!JH$12)),"")</f>
        <v/>
      </c>
      <c r="JI13" t="str" cm="1">
        <f t="array" ref="JI13">IF(JI$12&lt;&gt;"",_xlfn.UNIQUE(_xlfn._xlws.FILTER(RAW[[#All],[Room Type]],RAW[[#All],[Hotel / Resort Name ]]=Sheet2!JI$12)),"")</f>
        <v/>
      </c>
      <c r="JJ13" t="str" cm="1">
        <f t="array" ref="JJ13">IF(JJ$12&lt;&gt;"",_xlfn.UNIQUE(_xlfn._xlws.FILTER(RAW[[#All],[Room Type]],RAW[[#All],[Hotel / Resort Name ]]=Sheet2!JJ$12)),"")</f>
        <v/>
      </c>
      <c r="JK13" t="str" cm="1">
        <f t="array" ref="JK13">IF(JK$12&lt;&gt;"",_xlfn.UNIQUE(_xlfn._xlws.FILTER(RAW[[#All],[Room Type]],RAW[[#All],[Hotel / Resort Name ]]=Sheet2!JK$12)),"")</f>
        <v/>
      </c>
      <c r="JL13" t="str" cm="1">
        <f t="array" ref="JL13">IF(JL$12&lt;&gt;"",_xlfn.UNIQUE(_xlfn._xlws.FILTER(RAW[[#All],[Room Type]],RAW[[#All],[Hotel / Resort Name ]]=Sheet2!JL$12)),"")</f>
        <v/>
      </c>
      <c r="JM13" t="str" cm="1">
        <f t="array" ref="JM13">IF(JM$12&lt;&gt;"",_xlfn.UNIQUE(_xlfn._xlws.FILTER(RAW[[#All],[Room Type]],RAW[[#All],[Hotel / Resort Name ]]=Sheet2!JM$12)),"")</f>
        <v/>
      </c>
      <c r="JN13" t="str" cm="1">
        <f t="array" ref="JN13">IF(JN$12&lt;&gt;"",_xlfn.UNIQUE(_xlfn._xlws.FILTER(RAW[[#All],[Room Type]],RAW[[#All],[Hotel / Resort Name ]]=Sheet2!JN$12)),"")</f>
        <v/>
      </c>
      <c r="JO13" t="str" cm="1">
        <f t="array" ref="JO13">IF(JO$12&lt;&gt;"",_xlfn.UNIQUE(_xlfn._xlws.FILTER(RAW[[#All],[Room Type]],RAW[[#All],[Hotel / Resort Name ]]=Sheet2!JO$12)),"")</f>
        <v/>
      </c>
      <c r="JP13" t="str" cm="1">
        <f t="array" ref="JP13">IF(JP$12&lt;&gt;"",_xlfn.UNIQUE(_xlfn._xlws.FILTER(RAW[[#All],[Room Type]],RAW[[#All],[Hotel / Resort Name ]]=Sheet2!JP$12)),"")</f>
        <v/>
      </c>
      <c r="JQ13" t="str" cm="1">
        <f t="array" ref="JQ13">IF(JQ$12&lt;&gt;"",_xlfn.UNIQUE(_xlfn._xlws.FILTER(RAW[[#All],[Room Type]],RAW[[#All],[Hotel / Resort Name ]]=Sheet2!JQ$12)),"")</f>
        <v/>
      </c>
      <c r="JR13" t="str" cm="1">
        <f t="array" ref="JR13">IF(JR$12&lt;&gt;"",_xlfn.UNIQUE(_xlfn._xlws.FILTER(RAW[[#All],[Room Type]],RAW[[#All],[Hotel / Resort Name ]]=Sheet2!JR$12)),"")</f>
        <v/>
      </c>
      <c r="JS13" t="str" cm="1">
        <f t="array" ref="JS13">IF(JS$12&lt;&gt;"",_xlfn.UNIQUE(_xlfn._xlws.FILTER(RAW[[#All],[Room Type]],RAW[[#All],[Hotel / Resort Name ]]=Sheet2!JS$12)),"")</f>
        <v/>
      </c>
      <c r="JT13" t="str" cm="1">
        <f t="array" ref="JT13">IF(JT$12&lt;&gt;"",_xlfn.UNIQUE(_xlfn._xlws.FILTER(RAW[[#All],[Room Type]],RAW[[#All],[Hotel / Resort Name ]]=Sheet2!JT$12)),"")</f>
        <v/>
      </c>
      <c r="JU13" t="str" cm="1">
        <f t="array" ref="JU13">IF(JU$12&lt;&gt;"",_xlfn.UNIQUE(_xlfn._xlws.FILTER(RAW[[#All],[Room Type]],RAW[[#All],[Hotel / Resort Name ]]=Sheet2!JU$12)),"")</f>
        <v/>
      </c>
      <c r="JV13" t="str" cm="1">
        <f t="array" ref="JV13">IF(JV$12&lt;&gt;"",_xlfn.UNIQUE(_xlfn._xlws.FILTER(RAW[[#All],[Room Type]],RAW[[#All],[Hotel / Resort Name ]]=Sheet2!JV$12)),"")</f>
        <v/>
      </c>
      <c r="JW13" t="str" cm="1">
        <f t="array" ref="JW13">IF(JW$12&lt;&gt;"",_xlfn.UNIQUE(_xlfn._xlws.FILTER(RAW[[#All],[Room Type]],RAW[[#All],[Hotel / Resort Name ]]=Sheet2!JW$12)),"")</f>
        <v/>
      </c>
      <c r="JX13" t="str" cm="1">
        <f t="array" ref="JX13">IF(JX$12&lt;&gt;"",_xlfn.UNIQUE(_xlfn._xlws.FILTER(RAW[[#All],[Room Type]],RAW[[#All],[Hotel / Resort Name ]]=Sheet2!JX$12)),"")</f>
        <v/>
      </c>
      <c r="JY13" t="str" cm="1">
        <f t="array" ref="JY13">IF(JY$12&lt;&gt;"",_xlfn.UNIQUE(_xlfn._xlws.FILTER(RAW[[#All],[Room Type]],RAW[[#All],[Hotel / Resort Name ]]=Sheet2!JY$12)),"")</f>
        <v/>
      </c>
      <c r="JZ13" t="str" cm="1">
        <f t="array" ref="JZ13">IF(JZ$12&lt;&gt;"",_xlfn.UNIQUE(_xlfn._xlws.FILTER(RAW[[#All],[Room Type]],RAW[[#All],[Hotel / Resort Name ]]=Sheet2!JZ$12)),"")</f>
        <v/>
      </c>
      <c r="KA13" t="str" cm="1">
        <f t="array" ref="KA13">IF(KA$12&lt;&gt;"",_xlfn.UNIQUE(_xlfn._xlws.FILTER(RAW[[#All],[Room Type]],RAW[[#All],[Hotel / Resort Name ]]=Sheet2!KA$12)),"")</f>
        <v/>
      </c>
      <c r="KB13" t="str" cm="1">
        <f t="array" ref="KB13">IF(KB$12&lt;&gt;"",_xlfn.UNIQUE(_xlfn._xlws.FILTER(RAW[[#All],[Room Type]],RAW[[#All],[Hotel / Resort Name ]]=Sheet2!KB$12)),"")</f>
        <v/>
      </c>
      <c r="KC13" t="str" cm="1">
        <f t="array" ref="KC13">IF(KC$12&lt;&gt;"",_xlfn.UNIQUE(_xlfn._xlws.FILTER(RAW[[#All],[Room Type]],RAW[[#All],[Hotel / Resort Name ]]=Sheet2!KC$12)),"")</f>
        <v/>
      </c>
      <c r="KD13" t="str" cm="1">
        <f t="array" ref="KD13">IF(KD$12&lt;&gt;"",_xlfn.UNIQUE(_xlfn._xlws.FILTER(RAW[[#All],[Room Type]],RAW[[#All],[Hotel / Resort Name ]]=Sheet2!KD$12)),"")</f>
        <v/>
      </c>
      <c r="KE13" t="str" cm="1">
        <f t="array" ref="KE13">IF(KE$12&lt;&gt;"",_xlfn.UNIQUE(_xlfn._xlws.FILTER(RAW[[#All],[Room Type]],RAW[[#All],[Hotel / Resort Name ]]=Sheet2!KE$12)),"")</f>
        <v/>
      </c>
      <c r="KF13" t="str" cm="1">
        <f t="array" ref="KF13">IF(KF$12&lt;&gt;"",_xlfn.UNIQUE(_xlfn._xlws.FILTER(RAW[[#All],[Room Type]],RAW[[#All],[Hotel / Resort Name ]]=Sheet2!KF$12)),"")</f>
        <v/>
      </c>
      <c r="KG13" t="str" cm="1">
        <f t="array" ref="KG13">IF(KG$12&lt;&gt;"",_xlfn.UNIQUE(_xlfn._xlws.FILTER(RAW[[#All],[Room Type]],RAW[[#All],[Hotel / Resort Name ]]=Sheet2!KG$12)),"")</f>
        <v/>
      </c>
      <c r="KH13" t="str" cm="1">
        <f t="array" ref="KH13">IF(KH$12&lt;&gt;"",_xlfn.UNIQUE(_xlfn._xlws.FILTER(RAW[[#All],[Room Type]],RAW[[#All],[Hotel / Resort Name ]]=Sheet2!KH$12)),"")</f>
        <v/>
      </c>
      <c r="KI13" t="str" cm="1">
        <f t="array" ref="KI13">IF(KI$12&lt;&gt;"",_xlfn.UNIQUE(_xlfn._xlws.FILTER(RAW[[#All],[Room Type]],RAW[[#All],[Hotel / Resort Name ]]=Sheet2!KI$12)),"")</f>
        <v/>
      </c>
      <c r="KJ13" t="str" cm="1">
        <f t="array" ref="KJ13">IF(KJ$12&lt;&gt;"",_xlfn.UNIQUE(_xlfn._xlws.FILTER(RAW[[#All],[Room Type]],RAW[[#All],[Hotel / Resort Name ]]=Sheet2!KJ$12)),"")</f>
        <v/>
      </c>
      <c r="KK13" t="str" cm="1">
        <f t="array" ref="KK13">IF(KK$12&lt;&gt;"",_xlfn.UNIQUE(_xlfn._xlws.FILTER(RAW[[#All],[Room Type]],RAW[[#All],[Hotel / Resort Name ]]=Sheet2!KK$12)),"")</f>
        <v/>
      </c>
      <c r="KL13" t="str" cm="1">
        <f t="array" ref="KL13">IF(KL$12&lt;&gt;"",_xlfn.UNIQUE(_xlfn._xlws.FILTER(RAW[[#All],[Room Type]],RAW[[#All],[Hotel / Resort Name ]]=Sheet2!KL$12)),"")</f>
        <v/>
      </c>
      <c r="KM13" t="str" cm="1">
        <f t="array" ref="KM13">IF(KM$12&lt;&gt;"",_xlfn.UNIQUE(_xlfn._xlws.FILTER(RAW[[#All],[Room Type]],RAW[[#All],[Hotel / Resort Name ]]=Sheet2!KM$12)),"")</f>
        <v/>
      </c>
      <c r="KN13" t="str" cm="1">
        <f t="array" ref="KN13">IF(KN$12&lt;&gt;"",_xlfn.UNIQUE(_xlfn._xlws.FILTER(RAW[[#All],[Room Type]],RAW[[#All],[Hotel / Resort Name ]]=Sheet2!KN$12)),"")</f>
        <v/>
      </c>
      <c r="KO13" t="str" cm="1">
        <f t="array" ref="KO13">IF(KO$12&lt;&gt;"",_xlfn.UNIQUE(_xlfn._xlws.FILTER(RAW[[#All],[Room Type]],RAW[[#All],[Hotel / Resort Name ]]=Sheet2!KO$12)),"")</f>
        <v/>
      </c>
      <c r="KP13" t="str" cm="1">
        <f t="array" ref="KP13">IF(KP$12&lt;&gt;"",_xlfn.UNIQUE(_xlfn._xlws.FILTER(RAW[[#All],[Room Type]],RAW[[#All],[Hotel / Resort Name ]]=Sheet2!KP$12)),"")</f>
        <v/>
      </c>
      <c r="KQ13" t="str" cm="1">
        <f t="array" ref="KQ13">IF(KQ$12&lt;&gt;"",_xlfn.UNIQUE(_xlfn._xlws.FILTER(RAW[[#All],[Room Type]],RAW[[#All],[Hotel / Resort Name ]]=Sheet2!KQ$12)),"")</f>
        <v/>
      </c>
      <c r="KR13" t="str" cm="1">
        <f t="array" ref="KR13">IF(KR$12&lt;&gt;"",_xlfn.UNIQUE(_xlfn._xlws.FILTER(RAW[[#All],[Room Type]],RAW[[#All],[Hotel / Resort Name ]]=Sheet2!KR$12)),"")</f>
        <v/>
      </c>
      <c r="KS13" t="str" cm="1">
        <f t="array" ref="KS13">IF(KS$12&lt;&gt;"",_xlfn.UNIQUE(_xlfn._xlws.FILTER(RAW[[#All],[Room Type]],RAW[[#All],[Hotel / Resort Name ]]=Sheet2!KS$12)),"")</f>
        <v/>
      </c>
      <c r="KT13" t="str" cm="1">
        <f t="array" ref="KT13">IF(KT$12&lt;&gt;"",_xlfn.UNIQUE(_xlfn._xlws.FILTER(RAW[[#All],[Room Type]],RAW[[#All],[Hotel / Resort Name ]]=Sheet2!KT$12)),"")</f>
        <v/>
      </c>
      <c r="KU13" t="str" cm="1">
        <f t="array" ref="KU13">IF(KU$12&lt;&gt;"",_xlfn.UNIQUE(_xlfn._xlws.FILTER(RAW[[#All],[Room Type]],RAW[[#All],[Hotel / Resort Name ]]=Sheet2!KU$12)),"")</f>
        <v/>
      </c>
      <c r="KV13" t="str" cm="1">
        <f t="array" ref="KV13">IF(KV$12&lt;&gt;"",_xlfn.UNIQUE(_xlfn._xlws.FILTER(RAW[[#All],[Room Type]],RAW[[#All],[Hotel / Resort Name ]]=Sheet2!KV$12)),"")</f>
        <v/>
      </c>
      <c r="KW13" t="str" cm="1">
        <f t="array" ref="KW13">IF(KW$12&lt;&gt;"",_xlfn.UNIQUE(_xlfn._xlws.FILTER(RAW[[#All],[Room Type]],RAW[[#All],[Hotel / Resort Name ]]=Sheet2!KW$12)),"")</f>
        <v/>
      </c>
      <c r="KX13" t="str" cm="1">
        <f t="array" ref="KX13">IF(KX$12&lt;&gt;"",_xlfn.UNIQUE(_xlfn._xlws.FILTER(RAW[[#All],[Room Type]],RAW[[#All],[Hotel / Resort Name ]]=Sheet2!KX$12)),"")</f>
        <v/>
      </c>
      <c r="KY13" t="str" cm="1">
        <f t="array" ref="KY13">IF(KY$12&lt;&gt;"",_xlfn.UNIQUE(_xlfn._xlws.FILTER(RAW[[#All],[Room Type]],RAW[[#All],[Hotel / Resort Name ]]=Sheet2!KY$12)),"")</f>
        <v/>
      </c>
      <c r="KZ13" t="str" cm="1">
        <f t="array" ref="KZ13">IF(KZ$12&lt;&gt;"",_xlfn.UNIQUE(_xlfn._xlws.FILTER(RAW[[#All],[Room Type]],RAW[[#All],[Hotel / Resort Name ]]=Sheet2!KZ$12)),"")</f>
        <v/>
      </c>
      <c r="LA13" t="str" cm="1">
        <f t="array" ref="LA13">IF(LA$12&lt;&gt;"",_xlfn.UNIQUE(_xlfn._xlws.FILTER(RAW[[#All],[Room Type]],RAW[[#All],[Hotel / Resort Name ]]=Sheet2!LA$12)),"")</f>
        <v/>
      </c>
      <c r="LB13" t="str" cm="1">
        <f t="array" ref="LB13">IF(LB$12&lt;&gt;"",_xlfn.UNIQUE(_xlfn._xlws.FILTER(RAW[[#All],[Room Type]],RAW[[#All],[Hotel / Resort Name ]]=Sheet2!LB$12)),"")</f>
        <v/>
      </c>
      <c r="LC13" t="str" cm="1">
        <f t="array" ref="LC13">IF(LC$12&lt;&gt;"",_xlfn.UNIQUE(_xlfn._xlws.FILTER(RAW[[#All],[Room Type]],RAW[[#All],[Hotel / Resort Name ]]=Sheet2!LC$12)),"")</f>
        <v/>
      </c>
      <c r="LD13" t="str" cm="1">
        <f t="array" ref="LD13">IF(LD$12&lt;&gt;"",_xlfn.UNIQUE(_xlfn._xlws.FILTER(RAW[[#All],[Room Type]],RAW[[#All],[Hotel / Resort Name ]]=Sheet2!LD$12)),"")</f>
        <v/>
      </c>
      <c r="LE13" t="str" cm="1">
        <f t="array" ref="LE13">IF(LE$12&lt;&gt;"",_xlfn.UNIQUE(_xlfn._xlws.FILTER(RAW[[#All],[Room Type]],RAW[[#All],[Hotel / Resort Name ]]=Sheet2!LE$12)),"")</f>
        <v/>
      </c>
      <c r="LF13" t="str" cm="1">
        <f t="array" ref="LF13">IF(LF$12&lt;&gt;"",_xlfn.UNIQUE(_xlfn._xlws.FILTER(RAW[[#All],[Room Type]],RAW[[#All],[Hotel / Resort Name ]]=Sheet2!LF$12)),"")</f>
        <v/>
      </c>
      <c r="LG13" t="str" cm="1">
        <f t="array" ref="LG13">IF(LG$12&lt;&gt;"",_xlfn.UNIQUE(_xlfn._xlws.FILTER(RAW[[#All],[Room Type]],RAW[[#All],[Hotel / Resort Name ]]=Sheet2!LG$12)),"")</f>
        <v/>
      </c>
      <c r="LH13" t="str" cm="1">
        <f t="array" ref="LH13">IF(LH$12&lt;&gt;"",_xlfn.UNIQUE(_xlfn._xlws.FILTER(RAW[[#All],[Room Type]],RAW[[#All],[Hotel / Resort Name ]]=Sheet2!LH$12)),"")</f>
        <v/>
      </c>
      <c r="LI13" t="str" cm="1">
        <f t="array" ref="LI13">IF(LI$12&lt;&gt;"",_xlfn.UNIQUE(_xlfn._xlws.FILTER(RAW[[#All],[Room Type]],RAW[[#All],[Hotel / Resort Name ]]=Sheet2!LI$12)),"")</f>
        <v/>
      </c>
      <c r="LJ13" t="str" cm="1">
        <f t="array" ref="LJ13">IF(LJ$12&lt;&gt;"",_xlfn.UNIQUE(_xlfn._xlws.FILTER(RAW[[#All],[Room Type]],RAW[[#All],[Hotel / Resort Name ]]=Sheet2!LJ$12)),"")</f>
        <v/>
      </c>
      <c r="LK13" t="str" cm="1">
        <f t="array" ref="LK13">IF(LK$12&lt;&gt;"",_xlfn.UNIQUE(_xlfn._xlws.FILTER(RAW[[#All],[Room Type]],RAW[[#All],[Hotel / Resort Name ]]=Sheet2!LK$12)),"")</f>
        <v/>
      </c>
      <c r="LL13" t="str" cm="1">
        <f t="array" ref="LL13">IF(LL$12&lt;&gt;"",_xlfn.UNIQUE(_xlfn._xlws.FILTER(RAW[[#All],[Room Type]],RAW[[#All],[Hotel / Resort Name ]]=Sheet2!LL$12)),"")</f>
        <v/>
      </c>
      <c r="LM13" t="str" cm="1">
        <f t="array" ref="LM13">IF(LM$12&lt;&gt;"",_xlfn.UNIQUE(_xlfn._xlws.FILTER(RAW[[#All],[Room Type]],RAW[[#All],[Hotel / Resort Name ]]=Sheet2!LM$12)),"")</f>
        <v/>
      </c>
      <c r="LN13" t="str" cm="1">
        <f t="array" ref="LN13">IF(LN$12&lt;&gt;"",_xlfn.UNIQUE(_xlfn._xlws.FILTER(RAW[[#All],[Room Type]],RAW[[#All],[Hotel / Resort Name ]]=Sheet2!LN$12)),"")</f>
        <v/>
      </c>
      <c r="LO13" t="str" cm="1">
        <f t="array" ref="LO13">IF(LO$12&lt;&gt;"",_xlfn.UNIQUE(_xlfn._xlws.FILTER(RAW[[#All],[Room Type]],RAW[[#All],[Hotel / Resort Name ]]=Sheet2!LO$12)),"")</f>
        <v/>
      </c>
      <c r="LP13" t="str" cm="1">
        <f t="array" ref="LP13">IF(LP$12&lt;&gt;"",_xlfn.UNIQUE(_xlfn._xlws.FILTER(RAW[[#All],[Room Type]],RAW[[#All],[Hotel / Resort Name ]]=Sheet2!LP$12)),"")</f>
        <v/>
      </c>
      <c r="LQ13" t="str" cm="1">
        <f t="array" ref="LQ13">IF(LQ$12&lt;&gt;"",_xlfn.UNIQUE(_xlfn._xlws.FILTER(RAW[[#All],[Room Type]],RAW[[#All],[Hotel / Resort Name ]]=Sheet2!LQ$12)),"")</f>
        <v/>
      </c>
      <c r="LR13" t="str" cm="1">
        <f t="array" ref="LR13">IF(LR$12&lt;&gt;"",_xlfn.UNIQUE(_xlfn._xlws.FILTER(RAW[[#All],[Room Type]],RAW[[#All],[Hotel / Resort Name ]]=Sheet2!LR$12)),"")</f>
        <v/>
      </c>
      <c r="LS13" t="str" cm="1">
        <f t="array" ref="LS13">IF(LS$12&lt;&gt;"",_xlfn.UNIQUE(_xlfn._xlws.FILTER(RAW[[#All],[Room Type]],RAW[[#All],[Hotel / Resort Name ]]=Sheet2!LS$12)),"")</f>
        <v/>
      </c>
      <c r="LT13" t="str" cm="1">
        <f t="array" ref="LT13">IF(LT$12&lt;&gt;"",_xlfn.UNIQUE(_xlfn._xlws.FILTER(RAW[[#All],[Room Type]],RAW[[#All],[Hotel / Resort Name ]]=Sheet2!LT$12)),"")</f>
        <v/>
      </c>
      <c r="LU13" t="str" cm="1">
        <f t="array" ref="LU13">IF(LU$12&lt;&gt;"",_xlfn.UNIQUE(_xlfn._xlws.FILTER(RAW[[#All],[Room Type]],RAW[[#All],[Hotel / Resort Name ]]=Sheet2!LU$12)),"")</f>
        <v/>
      </c>
      <c r="LV13" t="str" cm="1">
        <f t="array" ref="LV13">IF(LV$12&lt;&gt;"",_xlfn.UNIQUE(_xlfn._xlws.FILTER(RAW[[#All],[Room Type]],RAW[[#All],[Hotel / Resort Name ]]=Sheet2!LV$12)),"")</f>
        <v/>
      </c>
      <c r="LW13" t="str" cm="1">
        <f t="array" ref="LW13">IF(LW$12&lt;&gt;"",_xlfn.UNIQUE(_xlfn._xlws.FILTER(RAW[[#All],[Room Type]],RAW[[#All],[Hotel / Resort Name ]]=Sheet2!LW$12)),"")</f>
        <v/>
      </c>
      <c r="LX13" t="str" cm="1">
        <f t="array" ref="LX13">IF(LX$12&lt;&gt;"",_xlfn.UNIQUE(_xlfn._xlws.FILTER(RAW[[#All],[Room Type]],RAW[[#All],[Hotel / Resort Name ]]=Sheet2!LX$12)),"")</f>
        <v/>
      </c>
      <c r="LY13" t="str" cm="1">
        <f t="array" ref="LY13">IF(LY$12&lt;&gt;"",_xlfn.UNIQUE(_xlfn._xlws.FILTER(RAW[[#All],[Room Type]],RAW[[#All],[Hotel / Resort Name ]]=Sheet2!LY$12)),"")</f>
        <v/>
      </c>
      <c r="LZ13" t="str" cm="1">
        <f t="array" ref="LZ13">IF(LZ$12&lt;&gt;"",_xlfn.UNIQUE(_xlfn._xlws.FILTER(RAW[[#All],[Room Type]],RAW[[#All],[Hotel / Resort Name ]]=Sheet2!LZ$12)),"")</f>
        <v/>
      </c>
      <c r="MA13" t="str" cm="1">
        <f t="array" ref="MA13">IF(MA$12&lt;&gt;"",_xlfn.UNIQUE(_xlfn._xlws.FILTER(RAW[[#All],[Room Type]],RAW[[#All],[Hotel / Resort Name ]]=Sheet2!MA$12)),"")</f>
        <v/>
      </c>
      <c r="MB13" t="str" cm="1">
        <f t="array" ref="MB13">IF(MB$12&lt;&gt;"",_xlfn.UNIQUE(_xlfn._xlws.FILTER(RAW[[#All],[Room Type]],RAW[[#All],[Hotel / Resort Name ]]=Sheet2!MB$12)),"")</f>
        <v/>
      </c>
      <c r="MC13" t="str" cm="1">
        <f t="array" ref="MC13">IF(MC$12&lt;&gt;"",_xlfn.UNIQUE(_xlfn._xlws.FILTER(RAW[[#All],[Room Type]],RAW[[#All],[Hotel / Resort Name ]]=Sheet2!MC$12)),"")</f>
        <v/>
      </c>
      <c r="MD13" t="str" cm="1">
        <f t="array" ref="MD13">IF(MD$12&lt;&gt;"",_xlfn.UNIQUE(_xlfn._xlws.FILTER(RAW[[#All],[Room Type]],RAW[[#All],[Hotel / Resort Name ]]=Sheet2!MD$12)),"")</f>
        <v/>
      </c>
      <c r="ME13" t="str" cm="1">
        <f t="array" ref="ME13">IF(ME$12&lt;&gt;"",_xlfn.UNIQUE(_xlfn._xlws.FILTER(RAW[[#All],[Room Type]],RAW[[#All],[Hotel / Resort Name ]]=Sheet2!ME$12)),"")</f>
        <v/>
      </c>
      <c r="MF13" t="str" cm="1">
        <f t="array" ref="MF13">IF(MF$12&lt;&gt;"",_xlfn.UNIQUE(_xlfn._xlws.FILTER(RAW[[#All],[Room Type]],RAW[[#All],[Hotel / Resort Name ]]=Sheet2!MF$12)),"")</f>
        <v/>
      </c>
      <c r="MG13" t="str" cm="1">
        <f t="array" ref="MG13">IF(MG$12&lt;&gt;"",_xlfn.UNIQUE(_xlfn._xlws.FILTER(RAW[[#All],[Room Type]],RAW[[#All],[Hotel / Resort Name ]]=Sheet2!MG$12)),"")</f>
        <v/>
      </c>
      <c r="MH13" t="str" cm="1">
        <f t="array" ref="MH13">IF(MH$12&lt;&gt;"",_xlfn.UNIQUE(_xlfn._xlws.FILTER(RAW[[#All],[Room Type]],RAW[[#All],[Hotel / Resort Name ]]=Sheet2!MH$12)),"")</f>
        <v/>
      </c>
      <c r="MI13" t="str" cm="1">
        <f t="array" ref="MI13">IF(MI$12&lt;&gt;"",_xlfn.UNIQUE(_xlfn._xlws.FILTER(RAW[[#All],[Room Type]],RAW[[#All],[Hotel / Resort Name ]]=Sheet2!MI$12)),"")</f>
        <v/>
      </c>
      <c r="MJ13" t="str" cm="1">
        <f t="array" ref="MJ13">IF(MJ$12&lt;&gt;"",_xlfn.UNIQUE(_xlfn._xlws.FILTER(RAW[[#All],[Room Type]],RAW[[#All],[Hotel / Resort Name ]]=Sheet2!MJ$12)),"")</f>
        <v/>
      </c>
      <c r="MK13" t="str" cm="1">
        <f t="array" ref="MK13">IF(MK$12&lt;&gt;"",_xlfn.UNIQUE(_xlfn._xlws.FILTER(RAW[[#All],[Room Type]],RAW[[#All],[Hotel / Resort Name ]]=Sheet2!MK$12)),"")</f>
        <v/>
      </c>
      <c r="ML13" t="str" cm="1">
        <f t="array" ref="ML13">IF(ML$12&lt;&gt;"",_xlfn.UNIQUE(_xlfn._xlws.FILTER(RAW[[#All],[Room Type]],RAW[[#All],[Hotel / Resort Name ]]=Sheet2!ML$12)),"")</f>
        <v/>
      </c>
      <c r="MM13" t="str" cm="1">
        <f t="array" ref="MM13">IF(MM$12&lt;&gt;"",_xlfn.UNIQUE(_xlfn._xlws.FILTER(RAW[[#All],[Room Type]],RAW[[#All],[Hotel / Resort Name ]]=Sheet2!MM$12)),"")</f>
        <v/>
      </c>
      <c r="MN13" t="str" cm="1">
        <f t="array" ref="MN13">IF(MN$12&lt;&gt;"",_xlfn.UNIQUE(_xlfn._xlws.FILTER(RAW[[#All],[Room Type]],RAW[[#All],[Hotel / Resort Name ]]=Sheet2!MN$12)),"")</f>
        <v/>
      </c>
      <c r="MO13" t="str" cm="1">
        <f t="array" ref="MO13">IF(MO$12&lt;&gt;"",_xlfn.UNIQUE(_xlfn._xlws.FILTER(RAW[[#All],[Room Type]],RAW[[#All],[Hotel / Resort Name ]]=Sheet2!MO$12)),"")</f>
        <v/>
      </c>
      <c r="MP13" t="str" cm="1">
        <f t="array" ref="MP13">IF(MP$12&lt;&gt;"",_xlfn.UNIQUE(_xlfn._xlws.FILTER(RAW[[#All],[Room Type]],RAW[[#All],[Hotel / Resort Name ]]=Sheet2!MP$12)),"")</f>
        <v/>
      </c>
      <c r="MQ13" t="str" cm="1">
        <f t="array" ref="MQ13">IF(MQ$12&lt;&gt;"",_xlfn.UNIQUE(_xlfn._xlws.FILTER(RAW[[#All],[Room Type]],RAW[[#All],[Hotel / Resort Name ]]=Sheet2!MQ$12)),"")</f>
        <v/>
      </c>
      <c r="MR13" t="str" cm="1">
        <f t="array" ref="MR13">IF(MR$12&lt;&gt;"",_xlfn.UNIQUE(_xlfn._xlws.FILTER(RAW[[#All],[Room Type]],RAW[[#All],[Hotel / Resort Name ]]=Sheet2!MR$12)),"")</f>
        <v/>
      </c>
      <c r="MS13" t="str" cm="1">
        <f t="array" ref="MS13">IF(MS$12&lt;&gt;"",_xlfn.UNIQUE(_xlfn._xlws.FILTER(RAW[[#All],[Room Type]],RAW[[#All],[Hotel / Resort Name ]]=Sheet2!MS$12)),"")</f>
        <v/>
      </c>
      <c r="MT13" t="str" cm="1">
        <f t="array" ref="MT13">IF(MT$12&lt;&gt;"",_xlfn.UNIQUE(_xlfn._xlws.FILTER(RAW[[#All],[Room Type]],RAW[[#All],[Hotel / Resort Name ]]=Sheet2!MT$12)),"")</f>
        <v/>
      </c>
      <c r="MU13" t="str" cm="1">
        <f t="array" ref="MU13">IF(MU$12&lt;&gt;"",_xlfn.UNIQUE(_xlfn._xlws.FILTER(RAW[[#All],[Room Type]],RAW[[#All],[Hotel / Resort Name ]]=Sheet2!MU$12)),"")</f>
        <v/>
      </c>
      <c r="MV13" t="str" cm="1">
        <f t="array" ref="MV13">IF(MV$12&lt;&gt;"",_xlfn.UNIQUE(_xlfn._xlws.FILTER(RAW[[#All],[Room Type]],RAW[[#All],[Hotel / Resort Name ]]=Sheet2!MV$12)),"")</f>
        <v/>
      </c>
      <c r="MW13" t="str" cm="1">
        <f t="array" ref="MW13">IF(MW$12&lt;&gt;"",_xlfn.UNIQUE(_xlfn._xlws.FILTER(RAW[[#All],[Room Type]],RAW[[#All],[Hotel / Resort Name ]]=Sheet2!MW$12)),"")</f>
        <v/>
      </c>
      <c r="MX13" t="str" cm="1">
        <f t="array" ref="MX13">IF(MX$12&lt;&gt;"",_xlfn.UNIQUE(_xlfn._xlws.FILTER(RAW[[#All],[Room Type]],RAW[[#All],[Hotel / Resort Name ]]=Sheet2!MX$12)),"")</f>
        <v/>
      </c>
      <c r="MY13" t="str" cm="1">
        <f t="array" ref="MY13">IF(MY$12&lt;&gt;"",_xlfn.UNIQUE(_xlfn._xlws.FILTER(RAW[[#All],[Room Type]],RAW[[#All],[Hotel / Resort Name ]]=Sheet2!MY$12)),"")</f>
        <v/>
      </c>
      <c r="MZ13" t="str" cm="1">
        <f t="array" ref="MZ13">IF(MZ$12&lt;&gt;"",_xlfn.UNIQUE(_xlfn._xlws.FILTER(RAW[[#All],[Room Type]],RAW[[#All],[Hotel / Resort Name ]]=Sheet2!MZ$12)),"")</f>
        <v/>
      </c>
      <c r="NA13" t="str" cm="1">
        <f t="array" ref="NA13">IF(NA$12&lt;&gt;"",_xlfn.UNIQUE(_xlfn._xlws.FILTER(RAW[[#All],[Room Type]],RAW[[#All],[Hotel / Resort Name ]]=Sheet2!NA$12)),"")</f>
        <v/>
      </c>
      <c r="NB13" t="str" cm="1">
        <f t="array" ref="NB13">IF(NB$12&lt;&gt;"",_xlfn.UNIQUE(_xlfn._xlws.FILTER(RAW[[#All],[Room Type]],RAW[[#All],[Hotel / Resort Name ]]=Sheet2!NB$12)),"")</f>
        <v/>
      </c>
      <c r="NC13" t="str" cm="1">
        <f t="array" ref="NC13">IF(NC$12&lt;&gt;"",_xlfn.UNIQUE(_xlfn._xlws.FILTER(RAW[[#All],[Room Type]],RAW[[#All],[Hotel / Resort Name ]]=Sheet2!NC$12)),"")</f>
        <v/>
      </c>
      <c r="ND13" t="str" cm="1">
        <f t="array" ref="ND13">IF(ND$12&lt;&gt;"",_xlfn.UNIQUE(_xlfn._xlws.FILTER(RAW[[#All],[Room Type]],RAW[[#All],[Hotel / Resort Name ]]=Sheet2!ND$12)),"")</f>
        <v/>
      </c>
      <c r="NE13" t="str" cm="1">
        <f t="array" ref="NE13">IF(NE$12&lt;&gt;"",_xlfn.UNIQUE(_xlfn._xlws.FILTER(RAW[[#All],[Room Type]],RAW[[#All],[Hotel / Resort Name ]]=Sheet2!NE$12)),"")</f>
        <v/>
      </c>
      <c r="NF13" t="str" cm="1">
        <f t="array" ref="NF13">IF(NF$12&lt;&gt;"",_xlfn.UNIQUE(_xlfn._xlws.FILTER(RAW[[#All],[Room Type]],RAW[[#All],[Hotel / Resort Name ]]=Sheet2!NF$12)),"")</f>
        <v/>
      </c>
      <c r="NG13" t="str" cm="1">
        <f t="array" ref="NG13">IF(NG$12&lt;&gt;"",_xlfn.UNIQUE(_xlfn._xlws.FILTER(RAW[[#All],[Room Type]],RAW[[#All],[Hotel / Resort Name ]]=Sheet2!NG$12)),"")</f>
        <v/>
      </c>
      <c r="NH13" t="str" cm="1">
        <f t="array" ref="NH13">IF(NH$12&lt;&gt;"",_xlfn.UNIQUE(_xlfn._xlws.FILTER(RAW[[#All],[Room Type]],RAW[[#All],[Hotel / Resort Name ]]=Sheet2!NH$12)),"")</f>
        <v/>
      </c>
      <c r="NI13" t="str" cm="1">
        <f t="array" ref="NI13">IF(NI$12&lt;&gt;"",_xlfn.UNIQUE(_xlfn._xlws.FILTER(RAW[[#All],[Room Type]],RAW[[#All],[Hotel / Resort Name ]]=Sheet2!NI$12)),"")</f>
        <v/>
      </c>
      <c r="NJ13" t="str" cm="1">
        <f t="array" ref="NJ13">IF(NJ$12&lt;&gt;"",_xlfn.UNIQUE(_xlfn._xlws.FILTER(RAW[[#All],[Room Type]],RAW[[#All],[Hotel / Resort Name ]]=Sheet2!NJ$12)),"")</f>
        <v/>
      </c>
      <c r="NK13" t="str" cm="1">
        <f t="array" ref="NK13">IF(NK$12&lt;&gt;"",_xlfn.UNIQUE(_xlfn._xlws.FILTER(RAW[[#All],[Room Type]],RAW[[#All],[Hotel / Resort Name ]]=Sheet2!NK$12)),"")</f>
        <v/>
      </c>
      <c r="NL13" t="str" cm="1">
        <f t="array" ref="NL13">IF(NL$12&lt;&gt;"",_xlfn.UNIQUE(_xlfn._xlws.FILTER(RAW[[#All],[Room Type]],RAW[[#All],[Hotel / Resort Name ]]=Sheet2!NL$12)),"")</f>
        <v/>
      </c>
      <c r="NM13" t="str" cm="1">
        <f t="array" ref="NM13">IF(NM$12&lt;&gt;"",_xlfn.UNIQUE(_xlfn._xlws.FILTER(RAW[[#All],[Room Type]],RAW[[#All],[Hotel / Resort Name ]]=Sheet2!NM$12)),"")</f>
        <v/>
      </c>
      <c r="NN13" t="str" cm="1">
        <f t="array" ref="NN13">IF(NN$12&lt;&gt;"",_xlfn.UNIQUE(_xlfn._xlws.FILTER(RAW[[#All],[Room Type]],RAW[[#All],[Hotel / Resort Name ]]=Sheet2!NN$12)),"")</f>
        <v/>
      </c>
      <c r="NO13" t="str" cm="1">
        <f t="array" ref="NO13">IF(NO$12&lt;&gt;"",_xlfn.UNIQUE(_xlfn._xlws.FILTER(RAW[[#All],[Room Type]],RAW[[#All],[Hotel / Resort Name ]]=Sheet2!NO$12)),"")</f>
        <v/>
      </c>
      <c r="NP13" t="str" cm="1">
        <f t="array" ref="NP13">IF(NP$12&lt;&gt;"",_xlfn.UNIQUE(_xlfn._xlws.FILTER(RAW[[#All],[Room Type]],RAW[[#All],[Hotel / Resort Name ]]=Sheet2!NP$12)),"")</f>
        <v/>
      </c>
      <c r="NQ13" t="str" cm="1">
        <f t="array" ref="NQ13">IF(NQ$12&lt;&gt;"",_xlfn.UNIQUE(_xlfn._xlws.FILTER(RAW[[#All],[Room Type]],RAW[[#All],[Hotel / Resort Name ]]=Sheet2!NQ$12)),"")</f>
        <v/>
      </c>
      <c r="NR13" t="str" cm="1">
        <f t="array" ref="NR13">IF(NR$12&lt;&gt;"",_xlfn.UNIQUE(_xlfn._xlws.FILTER(RAW[[#All],[Room Type]],RAW[[#All],[Hotel / Resort Name ]]=Sheet2!NR$12)),"")</f>
        <v/>
      </c>
      <c r="NS13" t="str" cm="1">
        <f t="array" ref="NS13">IF(NS$12&lt;&gt;"",_xlfn.UNIQUE(_xlfn._xlws.FILTER(RAW[[#All],[Room Type]],RAW[[#All],[Hotel / Resort Name ]]=Sheet2!NS$12)),"")</f>
        <v/>
      </c>
      <c r="NT13" t="str" cm="1">
        <f t="array" ref="NT13">IF(NT$12&lt;&gt;"",_xlfn.UNIQUE(_xlfn._xlws.FILTER(RAW[[#All],[Room Type]],RAW[[#All],[Hotel / Resort Name ]]=Sheet2!NT$12)),"")</f>
        <v/>
      </c>
      <c r="NU13" t="str" cm="1">
        <f t="array" ref="NU13">IF(NU$12&lt;&gt;"",_xlfn.UNIQUE(_xlfn._xlws.FILTER(RAW[[#All],[Room Type]],RAW[[#All],[Hotel / Resort Name ]]=Sheet2!NU$12)),"")</f>
        <v/>
      </c>
      <c r="NV13" t="str" cm="1">
        <f t="array" ref="NV13">IF(NV$12&lt;&gt;"",_xlfn.UNIQUE(_xlfn._xlws.FILTER(RAW[[#All],[Room Type]],RAW[[#All],[Hotel / Resort Name ]]=Sheet2!NV$12)),"")</f>
        <v/>
      </c>
      <c r="NW13" t="str" cm="1">
        <f t="array" ref="NW13">IF(NW$12&lt;&gt;"",_xlfn.UNIQUE(_xlfn._xlws.FILTER(RAW[[#All],[Room Type]],RAW[[#All],[Hotel / Resort Name ]]=Sheet2!NW$12)),"")</f>
        <v/>
      </c>
      <c r="NX13" t="str" cm="1">
        <f t="array" ref="NX13">IF(NX$12&lt;&gt;"",_xlfn.UNIQUE(_xlfn._xlws.FILTER(RAW[[#All],[Room Type]],RAW[[#All],[Hotel / Resort Name ]]=Sheet2!NX$12)),"")</f>
        <v/>
      </c>
      <c r="NY13" t="str" cm="1">
        <f t="array" ref="NY13">IF(NY$12&lt;&gt;"",_xlfn.UNIQUE(_xlfn._xlws.FILTER(RAW[[#All],[Room Type]],RAW[[#All],[Hotel / Resort Name ]]=Sheet2!NY$12)),"")</f>
        <v/>
      </c>
      <c r="NZ13" t="str" cm="1">
        <f t="array" ref="NZ13">IF(NZ$12&lt;&gt;"",_xlfn.UNIQUE(_xlfn._xlws.FILTER(RAW[[#All],[Room Type]],RAW[[#All],[Hotel / Resort Name ]]=Sheet2!NZ$12)),"")</f>
        <v/>
      </c>
      <c r="OA13" t="str" cm="1">
        <f t="array" ref="OA13">IF(OA$12&lt;&gt;"",_xlfn.UNIQUE(_xlfn._xlws.FILTER(RAW[[#All],[Room Type]],RAW[[#All],[Hotel / Resort Name ]]=Sheet2!OA$12)),"")</f>
        <v/>
      </c>
      <c r="OB13" t="str" cm="1">
        <f t="array" ref="OB13">IF(OB$12&lt;&gt;"",_xlfn.UNIQUE(_xlfn._xlws.FILTER(RAW[[#All],[Room Type]],RAW[[#All],[Hotel / Resort Name ]]=Sheet2!OB$12)),"")</f>
        <v/>
      </c>
      <c r="OC13" t="str" cm="1">
        <f t="array" ref="OC13">IF(OC$12&lt;&gt;"",_xlfn.UNIQUE(_xlfn._xlws.FILTER(RAW[[#All],[Room Type]],RAW[[#All],[Hotel / Resort Name ]]=Sheet2!OC$12)),"")</f>
        <v/>
      </c>
      <c r="OD13" t="str" cm="1">
        <f t="array" ref="OD13">IF(OD$12&lt;&gt;"",_xlfn.UNIQUE(_xlfn._xlws.FILTER(RAW[[#All],[Room Type]],RAW[[#All],[Hotel / Resort Name ]]=Sheet2!OD$12)),"")</f>
        <v/>
      </c>
      <c r="OE13" t="str" cm="1">
        <f t="array" ref="OE13">IF(OE$12&lt;&gt;"",_xlfn.UNIQUE(_xlfn._xlws.FILTER(RAW[[#All],[Room Type]],RAW[[#All],[Hotel / Resort Name ]]=Sheet2!OE$12)),"")</f>
        <v/>
      </c>
      <c r="OF13" t="str" cm="1">
        <f t="array" ref="OF13">IF(OF$12&lt;&gt;"",_xlfn.UNIQUE(_xlfn._xlws.FILTER(RAW[[#All],[Room Type]],RAW[[#All],[Hotel / Resort Name ]]=Sheet2!OF$12)),"")</f>
        <v/>
      </c>
      <c r="OG13" t="str" cm="1">
        <f t="array" ref="OG13">IF(OG$12&lt;&gt;"",_xlfn.UNIQUE(_xlfn._xlws.FILTER(RAW[[#All],[Room Type]],RAW[[#All],[Hotel / Resort Name ]]=Sheet2!OG$12)),"")</f>
        <v/>
      </c>
      <c r="OH13" t="str" cm="1">
        <f t="array" ref="OH13">IF(OH$12&lt;&gt;"",_xlfn.UNIQUE(_xlfn._xlws.FILTER(RAW[[#All],[Room Type]],RAW[[#All],[Hotel / Resort Name ]]=Sheet2!OH$12)),"")</f>
        <v/>
      </c>
      <c r="OI13" t="str" cm="1">
        <f t="array" ref="OI13">IF(OI$12&lt;&gt;"",_xlfn.UNIQUE(_xlfn._xlws.FILTER(RAW[[#All],[Room Type]],RAW[[#All],[Hotel / Resort Name ]]=Sheet2!OI$12)),"")</f>
        <v/>
      </c>
      <c r="OJ13" t="str" cm="1">
        <f t="array" ref="OJ13">IF(OJ$12&lt;&gt;"",_xlfn.UNIQUE(_xlfn._xlws.FILTER(RAW[[#All],[Room Type]],RAW[[#All],[Hotel / Resort Name ]]=Sheet2!OJ$12)),"")</f>
        <v/>
      </c>
      <c r="OK13" t="str" cm="1">
        <f t="array" ref="OK13">IF(OK$12&lt;&gt;"",_xlfn.UNIQUE(_xlfn._xlws.FILTER(RAW[[#All],[Room Type]],RAW[[#All],[Hotel / Resort Name ]]=Sheet2!OK$12)),"")</f>
        <v/>
      </c>
      <c r="OL13" t="str" cm="1">
        <f t="array" ref="OL13">IF(OL$12&lt;&gt;"",_xlfn.UNIQUE(_xlfn._xlws.FILTER(RAW[[#All],[Room Type]],RAW[[#All],[Hotel / Resort Name ]]=Sheet2!OL$12)),"")</f>
        <v/>
      </c>
      <c r="OM13" t="str" cm="1">
        <f t="array" ref="OM13">IF(OM$12&lt;&gt;"",_xlfn.UNIQUE(_xlfn._xlws.FILTER(RAW[[#All],[Room Type]],RAW[[#All],[Hotel / Resort Name ]]=Sheet2!OM$12)),"")</f>
        <v/>
      </c>
      <c r="ON13" t="str" cm="1">
        <f t="array" ref="ON13">IF(ON$12&lt;&gt;"",_xlfn.UNIQUE(_xlfn._xlws.FILTER(RAW[[#All],[Room Type]],RAW[[#All],[Hotel / Resort Name ]]=Sheet2!ON$12)),"")</f>
        <v/>
      </c>
      <c r="OO13" t="str" cm="1">
        <f t="array" ref="OO13">IF(OO$12&lt;&gt;"",_xlfn.UNIQUE(_xlfn._xlws.FILTER(RAW[[#All],[Room Type]],RAW[[#All],[Hotel / Resort Name ]]=Sheet2!OO$12)),"")</f>
        <v/>
      </c>
      <c r="OP13" t="str" cm="1">
        <f t="array" ref="OP13">IF(OP$12&lt;&gt;"",_xlfn.UNIQUE(_xlfn._xlws.FILTER(RAW[[#All],[Room Type]],RAW[[#All],[Hotel / Resort Name ]]=Sheet2!OP$12)),"")</f>
        <v/>
      </c>
      <c r="OQ13" t="str" cm="1">
        <f t="array" ref="OQ13">IF(OQ$12&lt;&gt;"",_xlfn.UNIQUE(_xlfn._xlws.FILTER(RAW[[#All],[Room Type]],RAW[[#All],[Hotel / Resort Name ]]=Sheet2!OQ$12)),"")</f>
        <v/>
      </c>
      <c r="OR13" t="str" cm="1">
        <f t="array" ref="OR13">IF(OR$12&lt;&gt;"",_xlfn.UNIQUE(_xlfn._xlws.FILTER(RAW[[#All],[Room Type]],RAW[[#All],[Hotel / Resort Name ]]=Sheet2!OR$12)),"")</f>
        <v/>
      </c>
      <c r="OS13" t="str" cm="1">
        <f t="array" ref="OS13">IF(OS$12&lt;&gt;"",_xlfn.UNIQUE(_xlfn._xlws.FILTER(RAW[[#All],[Room Type]],RAW[[#All],[Hotel / Resort Name ]]=Sheet2!OS$12)),"")</f>
        <v/>
      </c>
      <c r="OT13" t="str" cm="1">
        <f t="array" ref="OT13">IF(OT$12&lt;&gt;"",_xlfn.UNIQUE(_xlfn._xlws.FILTER(RAW[[#All],[Room Type]],RAW[[#All],[Hotel / Resort Name ]]=Sheet2!OT$12)),"")</f>
        <v/>
      </c>
      <c r="OU13" t="str" cm="1">
        <f t="array" ref="OU13">IF(OU$12&lt;&gt;"",_xlfn.UNIQUE(_xlfn._xlws.FILTER(RAW[[#All],[Room Type]],RAW[[#All],[Hotel / Resort Name ]]=Sheet2!OU$12)),"")</f>
        <v/>
      </c>
      <c r="OV13" t="str" cm="1">
        <f t="array" ref="OV13">IF(OV$12&lt;&gt;"",_xlfn.UNIQUE(_xlfn._xlws.FILTER(RAW[[#All],[Room Type]],RAW[[#All],[Hotel / Resort Name ]]=Sheet2!OV$12)),"")</f>
        <v/>
      </c>
      <c r="OW13" t="str" cm="1">
        <f t="array" ref="OW13">IF(OW$12&lt;&gt;"",_xlfn.UNIQUE(_xlfn._xlws.FILTER(RAW[[#All],[Room Type]],RAW[[#All],[Hotel / Resort Name ]]=Sheet2!OW$12)),"")</f>
        <v/>
      </c>
      <c r="OX13" t="str" cm="1">
        <f t="array" ref="OX13">IF(OX$12&lt;&gt;"",_xlfn.UNIQUE(_xlfn._xlws.FILTER(RAW[[#All],[Room Type]],RAW[[#All],[Hotel / Resort Name ]]=Sheet2!OX$12)),"")</f>
        <v/>
      </c>
      <c r="OY13" t="str" cm="1">
        <f t="array" ref="OY13">IF(OY$12&lt;&gt;"",_xlfn.UNIQUE(_xlfn._xlws.FILTER(RAW[[#All],[Room Type]],RAW[[#All],[Hotel / Resort Name ]]=Sheet2!OY$12)),"")</f>
        <v/>
      </c>
      <c r="OZ13" t="str" cm="1">
        <f t="array" ref="OZ13">IF(OZ$12&lt;&gt;"",_xlfn.UNIQUE(_xlfn._xlws.FILTER(RAW[[#All],[Room Type]],RAW[[#All],[Hotel / Resort Name ]]=Sheet2!OZ$12)),"")</f>
        <v/>
      </c>
      <c r="PA13" t="str" cm="1">
        <f t="array" ref="PA13">IF(PA$12&lt;&gt;"",_xlfn.UNIQUE(_xlfn._xlws.FILTER(RAW[[#All],[Room Type]],RAW[[#All],[Hotel / Resort Name ]]=Sheet2!PA$12)),"")</f>
        <v/>
      </c>
      <c r="PB13" t="str" cm="1">
        <f t="array" ref="PB13">IF(PB$12&lt;&gt;"",_xlfn.UNIQUE(_xlfn._xlws.FILTER(RAW[[#All],[Room Type]],RAW[[#All],[Hotel / Resort Name ]]=Sheet2!PB$12)),"")</f>
        <v/>
      </c>
      <c r="PC13" t="str" cm="1">
        <f t="array" ref="PC13">IF(PC$12&lt;&gt;"",_xlfn.UNIQUE(_xlfn._xlws.FILTER(RAW[[#All],[Room Type]],RAW[[#All],[Hotel / Resort Name ]]=Sheet2!PC$12)),"")</f>
        <v/>
      </c>
      <c r="PD13" t="str" cm="1">
        <f t="array" ref="PD13">IF(PD$12&lt;&gt;"",_xlfn.UNIQUE(_xlfn._xlws.FILTER(RAW[[#All],[Room Type]],RAW[[#All],[Hotel / Resort Name ]]=Sheet2!PD$12)),"")</f>
        <v/>
      </c>
      <c r="PE13" t="str" cm="1">
        <f t="array" ref="PE13">IF(PE$12&lt;&gt;"",_xlfn.UNIQUE(_xlfn._xlws.FILTER(RAW[[#All],[Room Type]],RAW[[#All],[Hotel / Resort Name ]]=Sheet2!PE$12)),"")</f>
        <v/>
      </c>
      <c r="PF13" t="str" cm="1">
        <f t="array" ref="PF13">IF(PF$12&lt;&gt;"",_xlfn.UNIQUE(_xlfn._xlws.FILTER(RAW[[#All],[Room Type]],RAW[[#All],[Hotel / Resort Name ]]=Sheet2!PF$12)),"")</f>
        <v/>
      </c>
      <c r="PG13" t="str" cm="1">
        <f t="array" ref="PG13">IF(PG$12&lt;&gt;"",_xlfn.UNIQUE(_xlfn._xlws.FILTER(RAW[[#All],[Room Type]],RAW[[#All],[Hotel / Resort Name ]]=Sheet2!PG$12)),"")</f>
        <v/>
      </c>
      <c r="PH13" t="str" cm="1">
        <f t="array" ref="PH13">IF(PH$12&lt;&gt;"",_xlfn.UNIQUE(_xlfn._xlws.FILTER(RAW[[#All],[Room Type]],RAW[[#All],[Hotel / Resort Name ]]=Sheet2!PH$12)),"")</f>
        <v/>
      </c>
      <c r="PI13" t="str" cm="1">
        <f t="array" ref="PI13">IF(PI$12&lt;&gt;"",_xlfn.UNIQUE(_xlfn._xlws.FILTER(RAW[[#All],[Room Type]],RAW[[#All],[Hotel / Resort Name ]]=Sheet2!PI$12)),"")</f>
        <v/>
      </c>
      <c r="PJ13" t="str" cm="1">
        <f t="array" ref="PJ13">IF(PJ$12&lt;&gt;"",_xlfn.UNIQUE(_xlfn._xlws.FILTER(RAW[[#All],[Room Type]],RAW[[#All],[Hotel / Resort Name ]]=Sheet2!PJ$12)),"")</f>
        <v/>
      </c>
      <c r="PK13" t="str" cm="1">
        <f t="array" ref="PK13">IF(PK$12&lt;&gt;"",_xlfn.UNIQUE(_xlfn._xlws.FILTER(RAW[[#All],[Room Type]],RAW[[#All],[Hotel / Resort Name ]]=Sheet2!PK$12)),"")</f>
        <v/>
      </c>
      <c r="PL13" t="str" cm="1">
        <f t="array" ref="PL13">IF(PL$12&lt;&gt;"",_xlfn.UNIQUE(_xlfn._xlws.FILTER(RAW[[#All],[Room Type]],RAW[[#All],[Hotel / Resort Name ]]=Sheet2!PL$12)),"")</f>
        <v/>
      </c>
      <c r="PM13" t="str" cm="1">
        <f t="array" ref="PM13">IF(PM$12&lt;&gt;"",_xlfn.UNIQUE(_xlfn._xlws.FILTER(RAW[[#All],[Room Type]],RAW[[#All],[Hotel / Resort Name ]]=Sheet2!PM$12)),"")</f>
        <v/>
      </c>
      <c r="PN13" t="str" cm="1">
        <f t="array" ref="PN13">IF(PN$12&lt;&gt;"",_xlfn.UNIQUE(_xlfn._xlws.FILTER(RAW[[#All],[Room Type]],RAW[[#All],[Hotel / Resort Name ]]=Sheet2!PN$12)),"")</f>
        <v/>
      </c>
      <c r="PO13" t="str" cm="1">
        <f t="array" ref="PO13">IF(PO$12&lt;&gt;"",_xlfn.UNIQUE(_xlfn._xlws.FILTER(RAW[[#All],[Room Type]],RAW[[#All],[Hotel / Resort Name ]]=Sheet2!PO$12)),"")</f>
        <v/>
      </c>
      <c r="PP13" t="str" cm="1">
        <f t="array" ref="PP13">IF(PP$12&lt;&gt;"",_xlfn.UNIQUE(_xlfn._xlws.FILTER(RAW[[#All],[Room Type]],RAW[[#All],[Hotel / Resort Name ]]=Sheet2!PP$12)),"")</f>
        <v/>
      </c>
      <c r="PQ13" t="str" cm="1">
        <f t="array" ref="PQ13">IF(PQ$12&lt;&gt;"",_xlfn.UNIQUE(_xlfn._xlws.FILTER(RAW[[#All],[Room Type]],RAW[[#All],[Hotel / Resort Name ]]=Sheet2!PQ$12)),"")</f>
        <v/>
      </c>
      <c r="PR13" t="str" cm="1">
        <f t="array" ref="PR13">IF(PR$12&lt;&gt;"",_xlfn.UNIQUE(_xlfn._xlws.FILTER(RAW[[#All],[Room Type]],RAW[[#All],[Hotel / Resort Name ]]=Sheet2!PR$12)),"")</f>
        <v/>
      </c>
      <c r="PS13" t="str" cm="1">
        <f t="array" ref="PS13">IF(PS$12&lt;&gt;"",_xlfn.UNIQUE(_xlfn._xlws.FILTER(RAW[[#All],[Room Type]],RAW[[#All],[Hotel / Resort Name ]]=Sheet2!PS$12)),"")</f>
        <v/>
      </c>
      <c r="PT13" t="str" cm="1">
        <f t="array" ref="PT13">IF(PT$12&lt;&gt;"",_xlfn.UNIQUE(_xlfn._xlws.FILTER(RAW[[#All],[Room Type]],RAW[[#All],[Hotel / Resort Name ]]=Sheet2!PT$12)),"")</f>
        <v/>
      </c>
      <c r="PU13" t="str" cm="1">
        <f t="array" ref="PU13">IF(PU$12&lt;&gt;"",_xlfn.UNIQUE(_xlfn._xlws.FILTER(RAW[[#All],[Room Type]],RAW[[#All],[Hotel / Resort Name ]]=Sheet2!PU$12)),"")</f>
        <v/>
      </c>
      <c r="PV13" t="str" cm="1">
        <f t="array" ref="PV13">IF(PV$12&lt;&gt;"",_xlfn.UNIQUE(_xlfn._xlws.FILTER(RAW[[#All],[Room Type]],RAW[[#All],[Hotel / Resort Name ]]=Sheet2!PV$12)),"")</f>
        <v/>
      </c>
      <c r="PW13" t="str" cm="1">
        <f t="array" ref="PW13">IF(PW$12&lt;&gt;"",_xlfn.UNIQUE(_xlfn._xlws.FILTER(RAW[[#All],[Room Type]],RAW[[#All],[Hotel / Resort Name ]]=Sheet2!PW$12)),"")</f>
        <v/>
      </c>
      <c r="PX13" t="str" cm="1">
        <f t="array" ref="PX13">IF(PX$12&lt;&gt;"",_xlfn.UNIQUE(_xlfn._xlws.FILTER(RAW[[#All],[Room Type]],RAW[[#All],[Hotel / Resort Name ]]=Sheet2!PX$12)),"")</f>
        <v/>
      </c>
      <c r="PY13" t="str" cm="1">
        <f t="array" ref="PY13">IF(PY$12&lt;&gt;"",_xlfn.UNIQUE(_xlfn._xlws.FILTER(RAW[[#All],[Room Type]],RAW[[#All],[Hotel / Resort Name ]]=Sheet2!PY$12)),"")</f>
        <v/>
      </c>
      <c r="PZ13" t="str" cm="1">
        <f t="array" ref="PZ13">IF(PZ$12&lt;&gt;"",_xlfn.UNIQUE(_xlfn._xlws.FILTER(RAW[[#All],[Room Type]],RAW[[#All],[Hotel / Resort Name ]]=Sheet2!PZ$12)),"")</f>
        <v/>
      </c>
      <c r="QA13" t="str" cm="1">
        <f t="array" ref="QA13">IF(QA$12&lt;&gt;"",_xlfn.UNIQUE(_xlfn._xlws.FILTER(RAW[[#All],[Room Type]],RAW[[#All],[Hotel / Resort Name ]]=Sheet2!QA$12)),"")</f>
        <v/>
      </c>
      <c r="QB13" t="str" cm="1">
        <f t="array" ref="QB13">IF(QB$12&lt;&gt;"",_xlfn.UNIQUE(_xlfn._xlws.FILTER(RAW[[#All],[Room Type]],RAW[[#All],[Hotel / Resort Name ]]=Sheet2!QB$12)),"")</f>
        <v/>
      </c>
      <c r="QC13" t="str" cm="1">
        <f t="array" ref="QC13">IF(QC$12&lt;&gt;"",_xlfn.UNIQUE(_xlfn._xlws.FILTER(RAW[[#All],[Room Type]],RAW[[#All],[Hotel / Resort Name ]]=Sheet2!QC$12)),"")</f>
        <v/>
      </c>
      <c r="QD13" t="str" cm="1">
        <f t="array" ref="QD13">IF(QD$12&lt;&gt;"",_xlfn.UNIQUE(_xlfn._xlws.FILTER(RAW[[#All],[Room Type]],RAW[[#All],[Hotel / Resort Name ]]=Sheet2!QD$12)),"")</f>
        <v/>
      </c>
      <c r="QE13" t="str" cm="1">
        <f t="array" ref="QE13">IF(QE$12&lt;&gt;"",_xlfn.UNIQUE(_xlfn._xlws.FILTER(RAW[[#All],[Room Type]],RAW[[#All],[Hotel / Resort Name ]]=Sheet2!QE$12)),"")</f>
        <v/>
      </c>
      <c r="QF13" t="str" cm="1">
        <f t="array" ref="QF13">IF(QF$12&lt;&gt;"",_xlfn.UNIQUE(_xlfn._xlws.FILTER(RAW[[#All],[Room Type]],RAW[[#All],[Hotel / Resort Name ]]=Sheet2!QF$12)),"")</f>
        <v/>
      </c>
      <c r="QG13" t="str" cm="1">
        <f t="array" ref="QG13">IF(QG$12&lt;&gt;"",_xlfn.UNIQUE(_xlfn._xlws.FILTER(RAW[[#All],[Room Type]],RAW[[#All],[Hotel / Resort Name ]]=Sheet2!QG$12)),"")</f>
        <v/>
      </c>
      <c r="QH13" t="str" cm="1">
        <f t="array" ref="QH13">IF(QH$12&lt;&gt;"",_xlfn.UNIQUE(_xlfn._xlws.FILTER(RAW[[#All],[Room Type]],RAW[[#All],[Hotel / Resort Name ]]=Sheet2!QH$12)),"")</f>
        <v/>
      </c>
      <c r="QI13" t="str" cm="1">
        <f t="array" ref="QI13">IF(QI$12&lt;&gt;"",_xlfn.UNIQUE(_xlfn._xlws.FILTER(RAW[[#All],[Room Type]],RAW[[#All],[Hotel / Resort Name ]]=Sheet2!QI$12)),"")</f>
        <v/>
      </c>
      <c r="QJ13" t="str" cm="1">
        <f t="array" ref="QJ13">IF(QJ$12&lt;&gt;"",_xlfn.UNIQUE(_xlfn._xlws.FILTER(RAW[[#All],[Room Type]],RAW[[#All],[Hotel / Resort Name ]]=Sheet2!QJ$12)),"")</f>
        <v/>
      </c>
      <c r="QK13" t="str" cm="1">
        <f t="array" ref="QK13">IF(QK$12&lt;&gt;"",_xlfn.UNIQUE(_xlfn._xlws.FILTER(RAW[[#All],[Room Type]],RAW[[#All],[Hotel / Resort Name ]]=Sheet2!QK$12)),"")</f>
        <v/>
      </c>
      <c r="QL13" t="str" cm="1">
        <f t="array" ref="QL13">IF(QL$12&lt;&gt;"",_xlfn.UNIQUE(_xlfn._xlws.FILTER(RAW[[#All],[Room Type]],RAW[[#All],[Hotel / Resort Name ]]=Sheet2!QL$12)),"")</f>
        <v/>
      </c>
      <c r="QM13" t="str" cm="1">
        <f t="array" ref="QM13">IF(QM$12&lt;&gt;"",_xlfn.UNIQUE(_xlfn._xlws.FILTER(RAW[[#All],[Room Type]],RAW[[#All],[Hotel / Resort Name ]]=Sheet2!QM$12)),"")</f>
        <v/>
      </c>
      <c r="QN13" t="str" cm="1">
        <f t="array" ref="QN13">IF(QN$12&lt;&gt;"",_xlfn.UNIQUE(_xlfn._xlws.FILTER(RAW[[#All],[Room Type]],RAW[[#All],[Hotel / Resort Name ]]=Sheet2!QN$12)),"")</f>
        <v/>
      </c>
      <c r="QO13" t="str" cm="1">
        <f t="array" ref="QO13">IF(QO$12&lt;&gt;"",_xlfn.UNIQUE(_xlfn._xlws.FILTER(RAW[[#All],[Room Type]],RAW[[#All],[Hotel / Resort Name ]]=Sheet2!QO$12)),"")</f>
        <v/>
      </c>
      <c r="QP13" t="str" cm="1">
        <f t="array" ref="QP13">IF(QP$12&lt;&gt;"",_xlfn.UNIQUE(_xlfn._xlws.FILTER(RAW[[#All],[Room Type]],RAW[[#All],[Hotel / Resort Name ]]=Sheet2!QP$12)),"")</f>
        <v/>
      </c>
      <c r="QQ13" t="str" cm="1">
        <f t="array" ref="QQ13">IF(QQ$12&lt;&gt;"",_xlfn.UNIQUE(_xlfn._xlws.FILTER(RAW[[#All],[Room Type]],RAW[[#All],[Hotel / Resort Name ]]=Sheet2!QQ$12)),"")</f>
        <v/>
      </c>
      <c r="QR13" t="str" cm="1">
        <f t="array" ref="QR13">IF(QR$12&lt;&gt;"",_xlfn.UNIQUE(_xlfn._xlws.FILTER(RAW[[#All],[Room Type]],RAW[[#All],[Hotel / Resort Name ]]=Sheet2!QR$12)),"")</f>
        <v/>
      </c>
      <c r="QS13" t="str" cm="1">
        <f t="array" ref="QS13">IF(QS$12&lt;&gt;"",_xlfn.UNIQUE(_xlfn._xlws.FILTER(RAW[[#All],[Room Type]],RAW[[#All],[Hotel / Resort Name ]]=Sheet2!QS$12)),"")</f>
        <v/>
      </c>
      <c r="QT13" t="str" cm="1">
        <f t="array" ref="QT13">IF(QT$12&lt;&gt;"",_xlfn.UNIQUE(_xlfn._xlws.FILTER(RAW[[#All],[Room Type]],RAW[[#All],[Hotel / Resort Name ]]=Sheet2!QT$12)),"")</f>
        <v/>
      </c>
      <c r="QU13" t="str" cm="1">
        <f t="array" ref="QU13">IF(QU$12&lt;&gt;"",_xlfn.UNIQUE(_xlfn._xlws.FILTER(RAW[[#All],[Room Type]],RAW[[#All],[Hotel / Resort Name ]]=Sheet2!QU$12)),"")</f>
        <v/>
      </c>
      <c r="QV13" t="str" cm="1">
        <f t="array" ref="QV13">IF(QV$12&lt;&gt;"",_xlfn.UNIQUE(_xlfn._xlws.FILTER(RAW[[#All],[Room Type]],RAW[[#All],[Hotel / Resort Name ]]=Sheet2!QV$12)),"")</f>
        <v/>
      </c>
      <c r="QW13" t="str" cm="1">
        <f t="array" ref="QW13">IF(QW$12&lt;&gt;"",_xlfn.UNIQUE(_xlfn._xlws.FILTER(RAW[[#All],[Room Type]],RAW[[#All],[Hotel / Resort Name ]]=Sheet2!QW$12)),"")</f>
        <v/>
      </c>
      <c r="QX13" t="str" cm="1">
        <f t="array" ref="QX13">IF(QX$12&lt;&gt;"",_xlfn.UNIQUE(_xlfn._xlws.FILTER(RAW[[#All],[Room Type]],RAW[[#All],[Hotel / Resort Name ]]=Sheet2!QX$12)),"")</f>
        <v/>
      </c>
      <c r="QY13" t="str" cm="1">
        <f t="array" ref="QY13">IF(QY$12&lt;&gt;"",_xlfn.UNIQUE(_xlfn._xlws.FILTER(RAW[[#All],[Room Type]],RAW[[#All],[Hotel / Resort Name ]]=Sheet2!QY$12)),"")</f>
        <v/>
      </c>
      <c r="QZ13" t="str" cm="1">
        <f t="array" ref="QZ13">IF(QZ$12&lt;&gt;"",_xlfn.UNIQUE(_xlfn._xlws.FILTER(RAW[[#All],[Room Type]],RAW[[#All],[Hotel / Resort Name ]]=Sheet2!QZ$12)),"")</f>
        <v/>
      </c>
      <c r="RA13" t="str" cm="1">
        <f t="array" ref="RA13">IF(RA$12&lt;&gt;"",_xlfn.UNIQUE(_xlfn._xlws.FILTER(RAW[[#All],[Room Type]],RAW[[#All],[Hotel / Resort Name ]]=Sheet2!RA$12)),"")</f>
        <v/>
      </c>
      <c r="RB13" t="str" cm="1">
        <f t="array" ref="RB13">IF(RB$12&lt;&gt;"",_xlfn.UNIQUE(_xlfn._xlws.FILTER(RAW[[#All],[Room Type]],RAW[[#All],[Hotel / Resort Name ]]=Sheet2!RB$12)),"")</f>
        <v/>
      </c>
      <c r="RC13" t="str" cm="1">
        <f t="array" ref="RC13">IF(RC$12&lt;&gt;"",_xlfn.UNIQUE(_xlfn._xlws.FILTER(RAW[[#All],[Room Type]],RAW[[#All],[Hotel / Resort Name ]]=Sheet2!RC$12)),"")</f>
        <v/>
      </c>
      <c r="RD13" t="str" cm="1">
        <f t="array" ref="RD13">IF(RD$12&lt;&gt;"",_xlfn.UNIQUE(_xlfn._xlws.FILTER(RAW[[#All],[Room Type]],RAW[[#All],[Hotel / Resort Name ]]=Sheet2!RD$12)),"")</f>
        <v/>
      </c>
      <c r="RE13" t="str" cm="1">
        <f t="array" ref="RE13">IF(RE$12&lt;&gt;"",_xlfn.UNIQUE(_xlfn._xlws.FILTER(RAW[[#All],[Room Type]],RAW[[#All],[Hotel / Resort Name ]]=Sheet2!RE$12)),"")</f>
        <v/>
      </c>
      <c r="RF13" t="str" cm="1">
        <f t="array" ref="RF13">IF(RF$12&lt;&gt;"",_xlfn.UNIQUE(_xlfn._xlws.FILTER(RAW[[#All],[Room Type]],RAW[[#All],[Hotel / Resort Name ]]=Sheet2!RF$12)),"")</f>
        <v/>
      </c>
      <c r="RG13" t="str" cm="1">
        <f t="array" ref="RG13">IF(RG$12&lt;&gt;"",_xlfn.UNIQUE(_xlfn._xlws.FILTER(RAW[[#All],[Room Type]],RAW[[#All],[Hotel / Resort Name ]]=Sheet2!RG$12)),"")</f>
        <v/>
      </c>
      <c r="RH13" t="str" cm="1">
        <f t="array" ref="RH13">IF(RH$12&lt;&gt;"",_xlfn.UNIQUE(_xlfn._xlws.FILTER(RAW[[#All],[Room Type]],RAW[[#All],[Hotel / Resort Name ]]=Sheet2!RH$12)),"")</f>
        <v/>
      </c>
      <c r="RI13" t="str" cm="1">
        <f t="array" ref="RI13">IF(RI$12&lt;&gt;"",_xlfn.UNIQUE(_xlfn._xlws.FILTER(RAW[[#All],[Room Type]],RAW[[#All],[Hotel / Resort Name ]]=Sheet2!RI$12)),"")</f>
        <v/>
      </c>
      <c r="RJ13" t="str" cm="1">
        <f t="array" ref="RJ13">IF(RJ$12&lt;&gt;"",_xlfn.UNIQUE(_xlfn._xlws.FILTER(RAW[[#All],[Room Type]],RAW[[#All],[Hotel / Resort Name ]]=Sheet2!RJ$12)),"")</f>
        <v/>
      </c>
      <c r="RK13" t="str" cm="1">
        <f t="array" ref="RK13">IF(RK$12&lt;&gt;"",_xlfn.UNIQUE(_xlfn._xlws.FILTER(RAW[[#All],[Room Type]],RAW[[#All],[Hotel / Resort Name ]]=Sheet2!RK$12)),"")</f>
        <v/>
      </c>
      <c r="RL13" t="str" cm="1">
        <f t="array" ref="RL13">IF(RL$12&lt;&gt;"",_xlfn.UNIQUE(_xlfn._xlws.FILTER(RAW[[#All],[Room Type]],RAW[[#All],[Hotel / Resort Name ]]=Sheet2!RL$12)),"")</f>
        <v/>
      </c>
      <c r="RM13" t="str" cm="1">
        <f t="array" ref="RM13">IF(RM$12&lt;&gt;"",_xlfn.UNIQUE(_xlfn._xlws.FILTER(RAW[[#All],[Room Type]],RAW[[#All],[Hotel / Resort Name ]]=Sheet2!RM$12)),"")</f>
        <v/>
      </c>
      <c r="RN13" t="str" cm="1">
        <f t="array" ref="RN13">IF(RN$12&lt;&gt;"",_xlfn.UNIQUE(_xlfn._xlws.FILTER(RAW[[#All],[Room Type]],RAW[[#All],[Hotel / Resort Name ]]=Sheet2!RN$12)),"")</f>
        <v/>
      </c>
      <c r="RO13" t="str" cm="1">
        <f t="array" ref="RO13">IF(RO$12&lt;&gt;"",_xlfn.UNIQUE(_xlfn._xlws.FILTER(RAW[[#All],[Room Type]],RAW[[#All],[Hotel / Resort Name ]]=Sheet2!RO$12)),"")</f>
        <v/>
      </c>
      <c r="RP13" t="str" cm="1">
        <f t="array" ref="RP13">IF(RP$12&lt;&gt;"",_xlfn.UNIQUE(_xlfn._xlws.FILTER(RAW[[#All],[Room Type]],RAW[[#All],[Hotel / Resort Name ]]=Sheet2!RP$12)),"")</f>
        <v/>
      </c>
      <c r="RQ13" t="str" cm="1">
        <f t="array" ref="RQ13">IF(RQ$12&lt;&gt;"",_xlfn.UNIQUE(_xlfn._xlws.FILTER(RAW[[#All],[Room Type]],RAW[[#All],[Hotel / Resort Name ]]=Sheet2!RQ$12)),"")</f>
        <v/>
      </c>
      <c r="RR13" t="str" cm="1">
        <f t="array" ref="RR13">IF(RR$12&lt;&gt;"",_xlfn.UNIQUE(_xlfn._xlws.FILTER(RAW[[#All],[Room Type]],RAW[[#All],[Hotel / Resort Name ]]=Sheet2!RR$12)),"")</f>
        <v/>
      </c>
      <c r="RS13" t="str" cm="1">
        <f t="array" ref="RS13">IF(RS$12&lt;&gt;"",_xlfn.UNIQUE(_xlfn._xlws.FILTER(RAW[[#All],[Room Type]],RAW[[#All],[Hotel / Resort Name ]]=Sheet2!RS$12)),"")</f>
        <v/>
      </c>
      <c r="RT13" t="str" cm="1">
        <f t="array" ref="RT13">IF(RT$12&lt;&gt;"",_xlfn.UNIQUE(_xlfn._xlws.FILTER(RAW[[#All],[Room Type]],RAW[[#All],[Hotel / Resort Name ]]=Sheet2!RT$12)),"")</f>
        <v/>
      </c>
      <c r="RU13" t="str" cm="1">
        <f t="array" ref="RU13">IF(RU$12&lt;&gt;"",_xlfn.UNIQUE(_xlfn._xlws.FILTER(RAW[[#All],[Room Type]],RAW[[#All],[Hotel / Resort Name ]]=Sheet2!RU$12)),"")</f>
        <v/>
      </c>
      <c r="RV13" t="str" cm="1">
        <f t="array" ref="RV13">IF(RV$12&lt;&gt;"",_xlfn.UNIQUE(_xlfn._xlws.FILTER(RAW[[#All],[Room Type]],RAW[[#All],[Hotel / Resort Name ]]=Sheet2!RV$12)),"")</f>
        <v/>
      </c>
      <c r="RW13" t="str" cm="1">
        <f t="array" ref="RW13">IF(RW$12&lt;&gt;"",_xlfn.UNIQUE(_xlfn._xlws.FILTER(RAW[[#All],[Room Type]],RAW[[#All],[Hotel / Resort Name ]]=Sheet2!RW$12)),"")</f>
        <v/>
      </c>
      <c r="RX13" t="str" cm="1">
        <f t="array" ref="RX13">IF(RX$12&lt;&gt;"",_xlfn.UNIQUE(_xlfn._xlws.FILTER(RAW[[#All],[Room Type]],RAW[[#All],[Hotel / Resort Name ]]=Sheet2!RX$12)),"")</f>
        <v/>
      </c>
      <c r="RY13" t="str" cm="1">
        <f t="array" ref="RY13">IF(RY$12&lt;&gt;"",_xlfn.UNIQUE(_xlfn._xlws.FILTER(RAW[[#All],[Room Type]],RAW[[#All],[Hotel / Resort Name ]]=Sheet2!RY$12)),"")</f>
        <v/>
      </c>
      <c r="RZ13" t="str" cm="1">
        <f t="array" ref="RZ13">IF(RZ$12&lt;&gt;"",_xlfn.UNIQUE(_xlfn._xlws.FILTER(RAW[[#All],[Room Type]],RAW[[#All],[Hotel / Resort Name ]]=Sheet2!RZ$12)),"")</f>
        <v/>
      </c>
      <c r="SA13" t="str" cm="1">
        <f t="array" ref="SA13">IF(SA$12&lt;&gt;"",_xlfn.UNIQUE(_xlfn._xlws.FILTER(RAW[[#All],[Room Type]],RAW[[#All],[Hotel / Resort Name ]]=Sheet2!SA$12)),"")</f>
        <v/>
      </c>
      <c r="SB13" t="str" cm="1">
        <f t="array" ref="SB13">IF(SB$12&lt;&gt;"",_xlfn.UNIQUE(_xlfn._xlws.FILTER(RAW[[#All],[Room Type]],RAW[[#All],[Hotel / Resort Name ]]=Sheet2!SB$12)),"")</f>
        <v/>
      </c>
      <c r="SC13" t="str" cm="1">
        <f t="array" ref="SC13">IF(SC$12&lt;&gt;"",_xlfn.UNIQUE(_xlfn._xlws.FILTER(RAW[[#All],[Room Type]],RAW[[#All],[Hotel / Resort Name ]]=Sheet2!SC$12)),"")</f>
        <v/>
      </c>
      <c r="SD13" t="str" cm="1">
        <f t="array" ref="SD13">IF(SD$12&lt;&gt;"",_xlfn.UNIQUE(_xlfn._xlws.FILTER(RAW[[#All],[Room Type]],RAW[[#All],[Hotel / Resort Name ]]=Sheet2!SD$12)),"")</f>
        <v/>
      </c>
      <c r="SE13" t="str" cm="1">
        <f t="array" ref="SE13">IF(SE$12&lt;&gt;"",_xlfn.UNIQUE(_xlfn._xlws.FILTER(RAW[[#All],[Room Type]],RAW[[#All],[Hotel / Resort Name ]]=Sheet2!SE$12)),"")</f>
        <v/>
      </c>
      <c r="SF13" t="str" cm="1">
        <f t="array" ref="SF13">IF(SF$12&lt;&gt;"",_xlfn.UNIQUE(_xlfn._xlws.FILTER(RAW[[#All],[Room Type]],RAW[[#All],[Hotel / Resort Name ]]=Sheet2!SF$12)),"")</f>
        <v/>
      </c>
      <c r="SG13" t="str" cm="1">
        <f t="array" ref="SG13">IF(SG$12&lt;&gt;"",_xlfn.UNIQUE(_xlfn._xlws.FILTER(RAW[[#All],[Room Type]],RAW[[#All],[Hotel / Resort Name ]]=Sheet2!SG$12)),"")</f>
        <v/>
      </c>
      <c r="SH13" t="str" cm="1">
        <f t="array" ref="SH13">IF(SH$12&lt;&gt;"",_xlfn.UNIQUE(_xlfn._xlws.FILTER(RAW[[#All],[Room Type]],RAW[[#All],[Hotel / Resort Name ]]=Sheet2!SH$12)),"")</f>
        <v/>
      </c>
      <c r="SI13" t="str" cm="1">
        <f t="array" ref="SI13">IF(SI$12&lt;&gt;"",_xlfn.UNIQUE(_xlfn._xlws.FILTER(RAW[[#All],[Room Type]],RAW[[#All],[Hotel / Resort Name ]]=Sheet2!SI$12)),"")</f>
        <v/>
      </c>
      <c r="SJ13" t="str" cm="1">
        <f t="array" ref="SJ13">IF(SJ$12&lt;&gt;"",_xlfn.UNIQUE(_xlfn._xlws.FILTER(RAW[[#All],[Room Type]],RAW[[#All],[Hotel / Resort Name ]]=Sheet2!SJ$12)),"")</f>
        <v/>
      </c>
      <c r="SK13" t="str" cm="1">
        <f t="array" ref="SK13">IF(SK$12&lt;&gt;"",_xlfn.UNIQUE(_xlfn._xlws.FILTER(RAW[[#All],[Room Type]],RAW[[#All],[Hotel / Resort Name ]]=Sheet2!SK$12)),"")</f>
        <v/>
      </c>
      <c r="SL13" t="str" cm="1">
        <f t="array" ref="SL13">IF(SL$12&lt;&gt;"",_xlfn.UNIQUE(_xlfn._xlws.FILTER(RAW[[#All],[Room Type]],RAW[[#All],[Hotel / Resort Name ]]=Sheet2!SL$12)),"")</f>
        <v/>
      </c>
      <c r="SM13" t="str" cm="1">
        <f t="array" ref="SM13">IF(SM$12&lt;&gt;"",_xlfn.UNIQUE(_xlfn._xlws.FILTER(RAW[[#All],[Room Type]],RAW[[#All],[Hotel / Resort Name ]]=Sheet2!SM$12)),"")</f>
        <v/>
      </c>
      <c r="SN13" t="str" cm="1">
        <f t="array" ref="SN13">IF(SN$12&lt;&gt;"",_xlfn.UNIQUE(_xlfn._xlws.FILTER(RAW[[#All],[Room Type]],RAW[[#All],[Hotel / Resort Name ]]=Sheet2!SN$12)),"")</f>
        <v/>
      </c>
      <c r="SO13" t="str" cm="1">
        <f t="array" ref="SO13">IF(SO$12&lt;&gt;"",_xlfn.UNIQUE(_xlfn._xlws.FILTER(RAW[[#All],[Room Type]],RAW[[#All],[Hotel / Resort Name ]]=Sheet2!SO$12)),"")</f>
        <v/>
      </c>
      <c r="SP13" t="str" cm="1">
        <f t="array" ref="SP13">IF(SP$12&lt;&gt;"",_xlfn.UNIQUE(_xlfn._xlws.FILTER(RAW[[#All],[Room Type]],RAW[[#All],[Hotel / Resort Name ]]=Sheet2!SP$12)),"")</f>
        <v/>
      </c>
      <c r="SQ13" t="str" cm="1">
        <f t="array" ref="SQ13">IF(SQ$12&lt;&gt;"",_xlfn.UNIQUE(_xlfn._xlws.FILTER(RAW[[#All],[Room Type]],RAW[[#All],[Hotel / Resort Name ]]=Sheet2!SQ$12)),"")</f>
        <v/>
      </c>
      <c r="SR13" t="str" cm="1">
        <f t="array" ref="SR13">IF(SR$12&lt;&gt;"",_xlfn.UNIQUE(_xlfn._xlws.FILTER(RAW[[#All],[Room Type]],RAW[[#All],[Hotel / Resort Name ]]=Sheet2!SR$12)),"")</f>
        <v/>
      </c>
      <c r="SS13" t="str" cm="1">
        <f t="array" ref="SS13">IF(SS$12&lt;&gt;"",_xlfn.UNIQUE(_xlfn._xlws.FILTER(RAW[[#All],[Room Type]],RAW[[#All],[Hotel / Resort Name ]]=Sheet2!SS$12)),"")</f>
        <v/>
      </c>
      <c r="ST13" t="str" cm="1">
        <f t="array" ref="ST13">IF(ST$12&lt;&gt;"",_xlfn.UNIQUE(_xlfn._xlws.FILTER(RAW[[#All],[Room Type]],RAW[[#All],[Hotel / Resort Name ]]=Sheet2!ST$12)),"")</f>
        <v/>
      </c>
      <c r="SU13" t="str" cm="1">
        <f t="array" ref="SU13">IF(SU$12&lt;&gt;"",_xlfn.UNIQUE(_xlfn._xlws.FILTER(RAW[[#All],[Room Type]],RAW[[#All],[Hotel / Resort Name ]]=Sheet2!SU$12)),"")</f>
        <v/>
      </c>
      <c r="SV13" t="str" cm="1">
        <f t="array" ref="SV13">IF(SV$12&lt;&gt;"",_xlfn.UNIQUE(_xlfn._xlws.FILTER(RAW[[#All],[Room Type]],RAW[[#All],[Hotel / Resort Name ]]=Sheet2!SV$12)),"")</f>
        <v/>
      </c>
      <c r="SW13" t="str" cm="1">
        <f t="array" ref="SW13">IF(SW$12&lt;&gt;"",_xlfn.UNIQUE(_xlfn._xlws.FILTER(RAW[[#All],[Room Type]],RAW[[#All],[Hotel / Resort Name ]]=Sheet2!SW$12)),"")</f>
        <v/>
      </c>
      <c r="SX13" t="str" cm="1">
        <f t="array" ref="SX13">IF(SX$12&lt;&gt;"",_xlfn.UNIQUE(_xlfn._xlws.FILTER(RAW[[#All],[Room Type]],RAW[[#All],[Hotel / Resort Name ]]=Sheet2!SX$12)),"")</f>
        <v/>
      </c>
      <c r="SY13" t="str" cm="1">
        <f t="array" ref="SY13">IF(SY$12&lt;&gt;"",_xlfn.UNIQUE(_xlfn._xlws.FILTER(RAW[[#All],[Room Type]],RAW[[#All],[Hotel / Resort Name ]]=Sheet2!SY$12)),"")</f>
        <v/>
      </c>
      <c r="SZ13" t="str" cm="1">
        <f t="array" ref="SZ13">IF(SZ$12&lt;&gt;"",_xlfn.UNIQUE(_xlfn._xlws.FILTER(RAW[[#All],[Room Type]],RAW[[#All],[Hotel / Resort Name ]]=Sheet2!SZ$12)),"")</f>
        <v/>
      </c>
      <c r="TA13" t="str" cm="1">
        <f t="array" ref="TA13">IF(TA$12&lt;&gt;"",_xlfn.UNIQUE(_xlfn._xlws.FILTER(RAW[[#All],[Room Type]],RAW[[#All],[Hotel / Resort Name ]]=Sheet2!TA$12)),"")</f>
        <v/>
      </c>
      <c r="TB13" t="str" cm="1">
        <f t="array" ref="TB13">IF(TB$12&lt;&gt;"",_xlfn.UNIQUE(_xlfn._xlws.FILTER(RAW[[#All],[Room Type]],RAW[[#All],[Hotel / Resort Name ]]=Sheet2!TB$12)),"")</f>
        <v/>
      </c>
      <c r="TC13" t="str" cm="1">
        <f t="array" ref="TC13">IF(TC$12&lt;&gt;"",_xlfn.UNIQUE(_xlfn._xlws.FILTER(RAW[[#All],[Room Type]],RAW[[#All],[Hotel / Resort Name ]]=Sheet2!TC$12)),"")</f>
        <v/>
      </c>
      <c r="TD13" t="str" cm="1">
        <f t="array" ref="TD13">IF(TD$12&lt;&gt;"",_xlfn.UNIQUE(_xlfn._xlws.FILTER(RAW[[#All],[Room Type]],RAW[[#All],[Hotel / Resort Name ]]=Sheet2!TD$12)),"")</f>
        <v/>
      </c>
      <c r="TE13" t="str" cm="1">
        <f t="array" ref="TE13">IF(TE$12&lt;&gt;"",_xlfn.UNIQUE(_xlfn._xlws.FILTER(RAW[[#All],[Room Type]],RAW[[#All],[Hotel / Resort Name ]]=Sheet2!TE$12)),"")</f>
        <v/>
      </c>
      <c r="TF13" t="str" cm="1">
        <f t="array" ref="TF13">IF(TF$12&lt;&gt;"",_xlfn.UNIQUE(_xlfn._xlws.FILTER(RAW[[#All],[Room Type]],RAW[[#All],[Hotel / Resort Name ]]=Sheet2!TF$12)),"")</f>
        <v/>
      </c>
      <c r="TG13" t="str" cm="1">
        <f t="array" ref="TG13">IF(TG$12&lt;&gt;"",_xlfn.UNIQUE(_xlfn._xlws.FILTER(RAW[[#All],[Room Type]],RAW[[#All],[Hotel / Resort Name ]]=Sheet2!TG$12)),"")</f>
        <v/>
      </c>
      <c r="TH13" t="str" cm="1">
        <f t="array" ref="TH13">IF(TH$12&lt;&gt;"",_xlfn.UNIQUE(_xlfn._xlws.FILTER(RAW[[#All],[Room Type]],RAW[[#All],[Hotel / Resort Name ]]=Sheet2!TH$12)),"")</f>
        <v/>
      </c>
      <c r="TI13" t="str" cm="1">
        <f t="array" ref="TI13">IF(TI$12&lt;&gt;"",_xlfn.UNIQUE(_xlfn._xlws.FILTER(RAW[[#All],[Room Type]],RAW[[#All],[Hotel / Resort Name ]]=Sheet2!TI$12)),"")</f>
        <v/>
      </c>
      <c r="TJ13" t="str" cm="1">
        <f t="array" ref="TJ13">IF(TJ$12&lt;&gt;"",_xlfn.UNIQUE(_xlfn._xlws.FILTER(RAW[[#All],[Room Type]],RAW[[#All],[Hotel / Resort Name ]]=Sheet2!TJ$12)),"")</f>
        <v/>
      </c>
      <c r="TK13" t="str" cm="1">
        <f t="array" ref="TK13">IF(TK$12&lt;&gt;"",_xlfn.UNIQUE(_xlfn._xlws.FILTER(RAW[[#All],[Room Type]],RAW[[#All],[Hotel / Resort Name ]]=Sheet2!TK$12)),"")</f>
        <v/>
      </c>
      <c r="TL13" t="str" cm="1">
        <f t="array" ref="TL13">IF(TL$12&lt;&gt;"",_xlfn.UNIQUE(_xlfn._xlws.FILTER(RAW[[#All],[Room Type]],RAW[[#All],[Hotel / Resort Name ]]=Sheet2!TL$12)),"")</f>
        <v/>
      </c>
      <c r="TM13" t="str" cm="1">
        <f t="array" ref="TM13">IF(TM$12&lt;&gt;"",_xlfn.UNIQUE(_xlfn._xlws.FILTER(RAW[[#All],[Room Type]],RAW[[#All],[Hotel / Resort Name ]]=Sheet2!TM$12)),"")</f>
        <v/>
      </c>
      <c r="TN13" t="str" cm="1">
        <f t="array" ref="TN13">IF(TN$12&lt;&gt;"",_xlfn.UNIQUE(_xlfn._xlws.FILTER(RAW[[#All],[Room Type]],RAW[[#All],[Hotel / Resort Name ]]=Sheet2!TN$12)),"")</f>
        <v/>
      </c>
      <c r="TO13" t="str" cm="1">
        <f t="array" ref="TO13">IF(TO$12&lt;&gt;"",_xlfn.UNIQUE(_xlfn._xlws.FILTER(RAW[[#All],[Room Type]],RAW[[#All],[Hotel / Resort Name ]]=Sheet2!TO$12)),"")</f>
        <v/>
      </c>
      <c r="TP13" t="str" cm="1">
        <f t="array" ref="TP13">IF(TP$12&lt;&gt;"",_xlfn.UNIQUE(_xlfn._xlws.FILTER(RAW[[#All],[Room Type]],RAW[[#All],[Hotel / Resort Name ]]=Sheet2!TP$12)),"")</f>
        <v/>
      </c>
      <c r="TQ13" t="str" cm="1">
        <f t="array" ref="TQ13">IF(TQ$12&lt;&gt;"",_xlfn.UNIQUE(_xlfn._xlws.FILTER(RAW[[#All],[Room Type]],RAW[[#All],[Hotel / Resort Name ]]=Sheet2!TQ$12)),"")</f>
        <v/>
      </c>
      <c r="TR13" t="str" cm="1">
        <f t="array" ref="TR13">IF(TR$12&lt;&gt;"",_xlfn.UNIQUE(_xlfn._xlws.FILTER(RAW[[#All],[Room Type]],RAW[[#All],[Hotel / Resort Name ]]=Sheet2!TR$12)),"")</f>
        <v/>
      </c>
      <c r="TS13" t="str" cm="1">
        <f t="array" ref="TS13">IF(TS$12&lt;&gt;"",_xlfn.UNIQUE(_xlfn._xlws.FILTER(RAW[[#All],[Room Type]],RAW[[#All],[Hotel / Resort Name ]]=Sheet2!TS$12)),"")</f>
        <v/>
      </c>
      <c r="TT13" t="str" cm="1">
        <f t="array" ref="TT13">IF(TT$12&lt;&gt;"",_xlfn.UNIQUE(_xlfn._xlws.FILTER(RAW[[#All],[Room Type]],RAW[[#All],[Hotel / Resort Name ]]=Sheet2!TT$12)),"")</f>
        <v/>
      </c>
      <c r="TU13" t="str" cm="1">
        <f t="array" ref="TU13">IF(TU$12&lt;&gt;"",_xlfn.UNIQUE(_xlfn._xlws.FILTER(RAW[[#All],[Room Type]],RAW[[#All],[Hotel / Resort Name ]]=Sheet2!TU$12)),"")</f>
        <v/>
      </c>
      <c r="TV13" t="str" cm="1">
        <f t="array" ref="TV13">IF(TV$12&lt;&gt;"",_xlfn.UNIQUE(_xlfn._xlws.FILTER(RAW[[#All],[Room Type]],RAW[[#All],[Hotel / Resort Name ]]=Sheet2!TV$12)),"")</f>
        <v/>
      </c>
      <c r="TW13" t="str" cm="1">
        <f t="array" ref="TW13">IF(TW$12&lt;&gt;"",_xlfn.UNIQUE(_xlfn._xlws.FILTER(RAW[[#All],[Room Type]],RAW[[#All],[Hotel / Resort Name ]]=Sheet2!TW$12)),"")</f>
        <v/>
      </c>
      <c r="TX13" t="str" cm="1">
        <f t="array" ref="TX13">IF(TX$12&lt;&gt;"",_xlfn.UNIQUE(_xlfn._xlws.FILTER(RAW[[#All],[Room Type]],RAW[[#All],[Hotel / Resort Name ]]=Sheet2!TX$12)),"")</f>
        <v/>
      </c>
      <c r="TY13" t="str" cm="1">
        <f t="array" ref="TY13">IF(TY$12&lt;&gt;"",_xlfn.UNIQUE(_xlfn._xlws.FILTER(RAW[[#All],[Room Type]],RAW[[#All],[Hotel / Resort Name ]]=Sheet2!TY$12)),"")</f>
        <v/>
      </c>
      <c r="TZ13" t="str" cm="1">
        <f t="array" ref="TZ13">IF(TZ$12&lt;&gt;"",_xlfn.UNIQUE(_xlfn._xlws.FILTER(RAW[[#All],[Room Type]],RAW[[#All],[Hotel / Resort Name ]]=Sheet2!TZ$12)),"")</f>
        <v/>
      </c>
      <c r="UA13" t="str" cm="1">
        <f t="array" ref="UA13">IF(UA$12&lt;&gt;"",_xlfn.UNIQUE(_xlfn._xlws.FILTER(RAW[[#All],[Room Type]],RAW[[#All],[Hotel / Resort Name ]]=Sheet2!UA$12)),"")</f>
        <v/>
      </c>
      <c r="UB13" t="str" cm="1">
        <f t="array" ref="UB13">IF(UB$12&lt;&gt;"",_xlfn.UNIQUE(_xlfn._xlws.FILTER(RAW[[#All],[Room Type]],RAW[[#All],[Hotel / Resort Name ]]=Sheet2!UB$12)),"")</f>
        <v/>
      </c>
      <c r="UC13" t="str" cm="1">
        <f t="array" ref="UC13">IF(UC$12&lt;&gt;"",_xlfn.UNIQUE(_xlfn._xlws.FILTER(RAW[[#All],[Room Type]],RAW[[#All],[Hotel / Resort Name ]]=Sheet2!UC$12)),"")</f>
        <v/>
      </c>
      <c r="UD13" t="str" cm="1">
        <f t="array" ref="UD13">IF(UD$12&lt;&gt;"",_xlfn.UNIQUE(_xlfn._xlws.FILTER(RAW[[#All],[Room Type]],RAW[[#All],[Hotel / Resort Name ]]=Sheet2!UD$12)),"")</f>
        <v/>
      </c>
      <c r="UE13" t="str" cm="1">
        <f t="array" ref="UE13">IF(UE$12&lt;&gt;"",_xlfn.UNIQUE(_xlfn._xlws.FILTER(RAW[[#All],[Room Type]],RAW[[#All],[Hotel / Resort Name ]]=Sheet2!UE$12)),"")</f>
        <v/>
      </c>
      <c r="UF13" t="str" cm="1">
        <f t="array" ref="UF13">IF(UF$12&lt;&gt;"",_xlfn.UNIQUE(_xlfn._xlws.FILTER(RAW[[#All],[Room Type]],RAW[[#All],[Hotel / Resort Name ]]=Sheet2!UF$12)),"")</f>
        <v/>
      </c>
      <c r="UG13" t="str" cm="1">
        <f t="array" ref="UG13">IF(UG$12&lt;&gt;"",_xlfn.UNIQUE(_xlfn._xlws.FILTER(RAW[[#All],[Room Type]],RAW[[#All],[Hotel / Resort Name ]]=Sheet2!UG$12)),"")</f>
        <v/>
      </c>
      <c r="UH13" t="str" cm="1">
        <f t="array" ref="UH13">IF(UH$12&lt;&gt;"",_xlfn.UNIQUE(_xlfn._xlws.FILTER(RAW[[#All],[Room Type]],RAW[[#All],[Hotel / Resort Name ]]=Sheet2!UH$12)),"")</f>
        <v/>
      </c>
      <c r="UI13" t="str" cm="1">
        <f t="array" ref="UI13">IF(UI$12&lt;&gt;"",_xlfn.UNIQUE(_xlfn._xlws.FILTER(RAW[[#All],[Room Type]],RAW[[#All],[Hotel / Resort Name ]]=Sheet2!UI$12)),"")</f>
        <v/>
      </c>
      <c r="UJ13" t="str" cm="1">
        <f t="array" ref="UJ13">IF(UJ$12&lt;&gt;"",_xlfn.UNIQUE(_xlfn._xlws.FILTER(RAW[[#All],[Room Type]],RAW[[#All],[Hotel / Resort Name ]]=Sheet2!UJ$12)),"")</f>
        <v/>
      </c>
      <c r="UK13" t="str" cm="1">
        <f t="array" ref="UK13">IF(UK$12&lt;&gt;"",_xlfn.UNIQUE(_xlfn._xlws.FILTER(RAW[[#All],[Room Type]],RAW[[#All],[Hotel / Resort Name ]]=Sheet2!UK$12)),"")</f>
        <v/>
      </c>
      <c r="UL13" t="str" cm="1">
        <f t="array" ref="UL13">IF(UL$12&lt;&gt;"",_xlfn.UNIQUE(_xlfn._xlws.FILTER(RAW[[#All],[Room Type]],RAW[[#All],[Hotel / Resort Name ]]=Sheet2!UL$12)),"")</f>
        <v/>
      </c>
      <c r="UM13" t="str" cm="1">
        <f t="array" ref="UM13">IF(UM$12&lt;&gt;"",_xlfn.UNIQUE(_xlfn._xlws.FILTER(RAW[[#All],[Room Type]],RAW[[#All],[Hotel / Resort Name ]]=Sheet2!UM$12)),"")</f>
        <v/>
      </c>
      <c r="UN13" t="str" cm="1">
        <f t="array" ref="UN13">IF(UN$12&lt;&gt;"",_xlfn.UNIQUE(_xlfn._xlws.FILTER(RAW[[#All],[Room Type]],RAW[[#All],[Hotel / Resort Name ]]=Sheet2!UN$12)),"")</f>
        <v/>
      </c>
      <c r="UO13" t="str" cm="1">
        <f t="array" ref="UO13">IF(UO$12&lt;&gt;"",_xlfn.UNIQUE(_xlfn._xlws.FILTER(RAW[[#All],[Room Type]],RAW[[#All],[Hotel / Resort Name ]]=Sheet2!UO$12)),"")</f>
        <v/>
      </c>
      <c r="UP13" t="str" cm="1">
        <f t="array" ref="UP13">IF(UP$12&lt;&gt;"",_xlfn.UNIQUE(_xlfn._xlws.FILTER(RAW[[#All],[Room Type]],RAW[[#All],[Hotel / Resort Name ]]=Sheet2!UP$12)),"")</f>
        <v/>
      </c>
      <c r="UQ13" t="str" cm="1">
        <f t="array" ref="UQ13">IF(UQ$12&lt;&gt;"",_xlfn.UNIQUE(_xlfn._xlws.FILTER(RAW[[#All],[Room Type]],RAW[[#All],[Hotel / Resort Name ]]=Sheet2!UQ$12)),"")</f>
        <v/>
      </c>
      <c r="UR13" t="str" cm="1">
        <f t="array" ref="UR13">IF(UR$12&lt;&gt;"",_xlfn.UNIQUE(_xlfn._xlws.FILTER(RAW[[#All],[Room Type]],RAW[[#All],[Hotel / Resort Name ]]=Sheet2!UR$12)),"")</f>
        <v/>
      </c>
      <c r="US13" t="str" cm="1">
        <f t="array" ref="US13">IF(US$12&lt;&gt;"",_xlfn.UNIQUE(_xlfn._xlws.FILTER(RAW[[#All],[Room Type]],RAW[[#All],[Hotel / Resort Name ]]=Sheet2!US$12)),"")</f>
        <v/>
      </c>
      <c r="UT13" t="str" cm="1">
        <f t="array" ref="UT13">IF(UT$12&lt;&gt;"",_xlfn.UNIQUE(_xlfn._xlws.FILTER(RAW[[#All],[Room Type]],RAW[[#All],[Hotel / Resort Name ]]=Sheet2!UT$12)),"")</f>
        <v/>
      </c>
      <c r="UU13" t="str" cm="1">
        <f t="array" ref="UU13">IF(UU$12&lt;&gt;"",_xlfn.UNIQUE(_xlfn._xlws.FILTER(RAW[[#All],[Room Type]],RAW[[#All],[Hotel / Resort Name ]]=Sheet2!UU$12)),"")</f>
        <v/>
      </c>
      <c r="UV13" t="str" cm="1">
        <f t="array" ref="UV13">IF(UV$12&lt;&gt;"",_xlfn.UNIQUE(_xlfn._xlws.FILTER(RAW[[#All],[Room Type]],RAW[[#All],[Hotel / Resort Name ]]=Sheet2!UV$12)),"")</f>
        <v/>
      </c>
      <c r="UW13" t="str" cm="1">
        <f t="array" ref="UW13">IF(UW$12&lt;&gt;"",_xlfn.UNIQUE(_xlfn._xlws.FILTER(RAW[[#All],[Room Type]],RAW[[#All],[Hotel / Resort Name ]]=Sheet2!UW$12)),"")</f>
        <v/>
      </c>
      <c r="UX13" t="str" cm="1">
        <f t="array" ref="UX13">IF(UX$12&lt;&gt;"",_xlfn.UNIQUE(_xlfn._xlws.FILTER(RAW[[#All],[Room Type]],RAW[[#All],[Hotel / Resort Name ]]=Sheet2!UX$12)),"")</f>
        <v/>
      </c>
      <c r="UY13" t="str" cm="1">
        <f t="array" ref="UY13">IF(UY$12&lt;&gt;"",_xlfn.UNIQUE(_xlfn._xlws.FILTER(RAW[[#All],[Room Type]],RAW[[#All],[Hotel / Resort Name ]]=Sheet2!UY$12)),"")</f>
        <v/>
      </c>
      <c r="UZ13" t="str" cm="1">
        <f t="array" ref="UZ13">IF(UZ$12&lt;&gt;"",_xlfn.UNIQUE(_xlfn._xlws.FILTER(RAW[[#All],[Room Type]],RAW[[#All],[Hotel / Resort Name ]]=Sheet2!UZ$12)),"")</f>
        <v/>
      </c>
      <c r="VA13" t="str" cm="1">
        <f t="array" ref="VA13">IF(VA$12&lt;&gt;"",_xlfn.UNIQUE(_xlfn._xlws.FILTER(RAW[[#All],[Room Type]],RAW[[#All],[Hotel / Resort Name ]]=Sheet2!VA$12)),"")</f>
        <v/>
      </c>
      <c r="VB13" t="str" cm="1">
        <f t="array" ref="VB13">IF(VB$12&lt;&gt;"",_xlfn.UNIQUE(_xlfn._xlws.FILTER(RAW[[#All],[Room Type]],RAW[[#All],[Hotel / Resort Name ]]=Sheet2!VB$12)),"")</f>
        <v/>
      </c>
      <c r="VC13" t="str" cm="1">
        <f t="array" ref="VC13">IF(VC$12&lt;&gt;"",_xlfn.UNIQUE(_xlfn._xlws.FILTER(RAW[[#All],[Room Type]],RAW[[#All],[Hotel / Resort Name ]]=Sheet2!VC$12)),"")</f>
        <v/>
      </c>
      <c r="VD13" t="str" cm="1">
        <f t="array" ref="VD13">IF(VD$12&lt;&gt;"",_xlfn.UNIQUE(_xlfn._xlws.FILTER(RAW[[#All],[Room Type]],RAW[[#All],[Hotel / Resort Name ]]=Sheet2!VD$12)),"")</f>
        <v/>
      </c>
      <c r="VE13" t="str" cm="1">
        <f t="array" ref="VE13">IF(VE$12&lt;&gt;"",_xlfn.UNIQUE(_xlfn._xlws.FILTER(RAW[[#All],[Room Type]],RAW[[#All],[Hotel / Resort Name ]]=Sheet2!VE$12)),"")</f>
        <v/>
      </c>
      <c r="VF13" t="str" cm="1">
        <f t="array" ref="VF13">IF(VF$12&lt;&gt;"",_xlfn.UNIQUE(_xlfn._xlws.FILTER(RAW[[#All],[Room Type]],RAW[[#All],[Hotel / Resort Name ]]=Sheet2!VF$12)),"")</f>
        <v/>
      </c>
      <c r="VG13" t="str" cm="1">
        <f t="array" ref="VG13">IF(VG$12&lt;&gt;"",_xlfn.UNIQUE(_xlfn._xlws.FILTER(RAW[[#All],[Room Type]],RAW[[#All],[Hotel / Resort Name ]]=Sheet2!VG$12)),"")</f>
        <v/>
      </c>
      <c r="VH13" t="str" cm="1">
        <f t="array" ref="VH13">IF(VH$12&lt;&gt;"",_xlfn.UNIQUE(_xlfn._xlws.FILTER(RAW[[#All],[Room Type]],RAW[[#All],[Hotel / Resort Name ]]=Sheet2!VH$12)),"")</f>
        <v/>
      </c>
      <c r="VI13" t="str" cm="1">
        <f t="array" ref="VI13">IF(VI$12&lt;&gt;"",_xlfn.UNIQUE(_xlfn._xlws.FILTER(RAW[[#All],[Room Type]],RAW[[#All],[Hotel / Resort Name ]]=Sheet2!VI$12)),"")</f>
        <v/>
      </c>
      <c r="VJ13" t="str" cm="1">
        <f t="array" ref="VJ13">IF(VJ$12&lt;&gt;"",_xlfn.UNIQUE(_xlfn._xlws.FILTER(RAW[[#All],[Room Type]],RAW[[#All],[Hotel / Resort Name ]]=Sheet2!VJ$12)),"")</f>
        <v/>
      </c>
      <c r="VK13" t="str" cm="1">
        <f t="array" ref="VK13">IF(VK$12&lt;&gt;"",_xlfn.UNIQUE(_xlfn._xlws.FILTER(RAW[[#All],[Room Type]],RAW[[#All],[Hotel / Resort Name ]]=Sheet2!VK$12)),"")</f>
        <v/>
      </c>
      <c r="VL13" t="str" cm="1">
        <f t="array" ref="VL13">IF(VL$12&lt;&gt;"",_xlfn.UNIQUE(_xlfn._xlws.FILTER(RAW[[#All],[Room Type]],RAW[[#All],[Hotel / Resort Name ]]=Sheet2!VL$12)),"")</f>
        <v/>
      </c>
      <c r="VM13" t="str" cm="1">
        <f t="array" ref="VM13">IF(VM$12&lt;&gt;"",_xlfn.UNIQUE(_xlfn._xlws.FILTER(RAW[[#All],[Room Type]],RAW[[#All],[Hotel / Resort Name ]]=Sheet2!VM$12)),"")</f>
        <v/>
      </c>
      <c r="VN13" t="str" cm="1">
        <f t="array" ref="VN13">IF(VN$12&lt;&gt;"",_xlfn.UNIQUE(_xlfn._xlws.FILTER(RAW[[#All],[Room Type]],RAW[[#All],[Hotel / Resort Name ]]=Sheet2!VN$12)),"")</f>
        <v/>
      </c>
      <c r="VO13" t="str" cm="1">
        <f t="array" ref="VO13">IF(VO$12&lt;&gt;"",_xlfn.UNIQUE(_xlfn._xlws.FILTER(RAW[[#All],[Room Type]],RAW[[#All],[Hotel / Resort Name ]]=Sheet2!VO$12)),"")</f>
        <v/>
      </c>
      <c r="VP13" t="str" cm="1">
        <f t="array" ref="VP13">IF(VP$12&lt;&gt;"",_xlfn.UNIQUE(_xlfn._xlws.FILTER(RAW[[#All],[Room Type]],RAW[[#All],[Hotel / Resort Name ]]=Sheet2!VP$12)),"")</f>
        <v/>
      </c>
      <c r="VQ13" t="str" cm="1">
        <f t="array" ref="VQ13">IF(VQ$12&lt;&gt;"",_xlfn.UNIQUE(_xlfn._xlws.FILTER(RAW[[#All],[Room Type]],RAW[[#All],[Hotel / Resort Name ]]=Sheet2!VQ$12)),"")</f>
        <v/>
      </c>
      <c r="VR13" t="str" cm="1">
        <f t="array" ref="VR13">IF(VR$12&lt;&gt;"",_xlfn.UNIQUE(_xlfn._xlws.FILTER(RAW[[#All],[Room Type]],RAW[[#All],[Hotel / Resort Name ]]=Sheet2!VR$12)),"")</f>
        <v/>
      </c>
      <c r="VS13" t="str" cm="1">
        <f t="array" ref="VS13">IF(VS$12&lt;&gt;"",_xlfn.UNIQUE(_xlfn._xlws.FILTER(RAW[[#All],[Room Type]],RAW[[#All],[Hotel / Resort Name ]]=Sheet2!VS$12)),"")</f>
        <v/>
      </c>
      <c r="VT13" t="str" cm="1">
        <f t="array" ref="VT13">IF(VT$12&lt;&gt;"",_xlfn.UNIQUE(_xlfn._xlws.FILTER(RAW[[#All],[Room Type]],RAW[[#All],[Hotel / Resort Name ]]=Sheet2!VT$12)),"")</f>
        <v/>
      </c>
      <c r="VU13" t="str" cm="1">
        <f t="array" ref="VU13">IF(VU$12&lt;&gt;"",_xlfn.UNIQUE(_xlfn._xlws.FILTER(RAW[[#All],[Room Type]],RAW[[#All],[Hotel / Resort Name ]]=Sheet2!VU$12)),"")</f>
        <v/>
      </c>
      <c r="VV13" t="str" cm="1">
        <f t="array" ref="VV13">IF(VV$12&lt;&gt;"",_xlfn.UNIQUE(_xlfn._xlws.FILTER(RAW[[#All],[Room Type]],RAW[[#All],[Hotel / Resort Name ]]=Sheet2!VV$12)),"")</f>
        <v/>
      </c>
      <c r="VW13" t="str" cm="1">
        <f t="array" ref="VW13">IF(VW$12&lt;&gt;"",_xlfn.UNIQUE(_xlfn._xlws.FILTER(RAW[[#All],[Room Type]],RAW[[#All],[Hotel / Resort Name ]]=Sheet2!VW$12)),"")</f>
        <v/>
      </c>
      <c r="VX13" t="str" cm="1">
        <f t="array" ref="VX13">IF(VX$12&lt;&gt;"",_xlfn.UNIQUE(_xlfn._xlws.FILTER(RAW[[#All],[Room Type]],RAW[[#All],[Hotel / Resort Name ]]=Sheet2!VX$12)),"")</f>
        <v/>
      </c>
      <c r="VY13" t="str" cm="1">
        <f t="array" ref="VY13">IF(VY$12&lt;&gt;"",_xlfn.UNIQUE(_xlfn._xlws.FILTER(RAW[[#All],[Room Type]],RAW[[#All],[Hotel / Resort Name ]]=Sheet2!VY$12)),"")</f>
        <v/>
      </c>
      <c r="VZ13" t="str" cm="1">
        <f t="array" ref="VZ13">IF(VZ$12&lt;&gt;"",_xlfn.UNIQUE(_xlfn._xlws.FILTER(RAW[[#All],[Room Type]],RAW[[#All],[Hotel / Resort Name ]]=Sheet2!VZ$12)),"")</f>
        <v/>
      </c>
      <c r="WA13" t="str" cm="1">
        <f t="array" ref="WA13">IF(WA$12&lt;&gt;"",_xlfn.UNIQUE(_xlfn._xlws.FILTER(RAW[[#All],[Room Type]],RAW[[#All],[Hotel / Resort Name ]]=Sheet2!WA$12)),"")</f>
        <v/>
      </c>
      <c r="WB13" t="str" cm="1">
        <f t="array" ref="WB13">IF(WB$12&lt;&gt;"",_xlfn.UNIQUE(_xlfn._xlws.FILTER(RAW[[#All],[Room Type]],RAW[[#All],[Hotel / Resort Name ]]=Sheet2!WB$12)),"")</f>
        <v/>
      </c>
      <c r="WC13" t="str" cm="1">
        <f t="array" ref="WC13">IF(WC$12&lt;&gt;"",_xlfn.UNIQUE(_xlfn._xlws.FILTER(RAW[[#All],[Room Type]],RAW[[#All],[Hotel / Resort Name ]]=Sheet2!WC$12)),"")</f>
        <v/>
      </c>
      <c r="WD13" t="str" cm="1">
        <f t="array" ref="WD13">IF(WD$12&lt;&gt;"",_xlfn.UNIQUE(_xlfn._xlws.FILTER(RAW[[#All],[Room Type]],RAW[[#All],[Hotel / Resort Name ]]=Sheet2!WD$12)),"")</f>
        <v/>
      </c>
      <c r="WE13" t="str" cm="1">
        <f t="array" ref="WE13">IF(WE$12&lt;&gt;"",_xlfn.UNIQUE(_xlfn._xlws.FILTER(RAW[[#All],[Room Type]],RAW[[#All],[Hotel / Resort Name ]]=Sheet2!WE$12)),"")</f>
        <v/>
      </c>
      <c r="WF13" t="str" cm="1">
        <f t="array" ref="WF13">IF(WF$12&lt;&gt;"",_xlfn.UNIQUE(_xlfn._xlws.FILTER(RAW[[#All],[Room Type]],RAW[[#All],[Hotel / Resort Name ]]=Sheet2!WF$12)),"")</f>
        <v/>
      </c>
      <c r="WG13" t="str" cm="1">
        <f t="array" ref="WG13">IF(WG$12&lt;&gt;"",_xlfn.UNIQUE(_xlfn._xlws.FILTER(RAW[[#All],[Room Type]],RAW[[#All],[Hotel / Resort Name ]]=Sheet2!WG$12)),"")</f>
        <v/>
      </c>
      <c r="WH13" t="str" cm="1">
        <f t="array" ref="WH13">IF(WH$12&lt;&gt;"",_xlfn.UNIQUE(_xlfn._xlws.FILTER(RAW[[#All],[Room Type]],RAW[[#All],[Hotel / Resort Name ]]=Sheet2!WH$12)),"")</f>
        <v/>
      </c>
      <c r="WI13" t="str" cm="1">
        <f t="array" ref="WI13">IF(WI$12&lt;&gt;"",_xlfn.UNIQUE(_xlfn._xlws.FILTER(RAW[[#All],[Room Type]],RAW[[#All],[Hotel / Resort Name ]]=Sheet2!WI$12)),"")</f>
        <v/>
      </c>
      <c r="WJ13" t="str" cm="1">
        <f t="array" ref="WJ13">IF(WJ$12&lt;&gt;"",_xlfn.UNIQUE(_xlfn._xlws.FILTER(RAW[[#All],[Room Type]],RAW[[#All],[Hotel / Resort Name ]]=Sheet2!WJ$12)),"")</f>
        <v/>
      </c>
      <c r="WK13" t="str" cm="1">
        <f t="array" ref="WK13">IF(WK$12&lt;&gt;"",_xlfn.UNIQUE(_xlfn._xlws.FILTER(RAW[[#All],[Room Type]],RAW[[#All],[Hotel / Resort Name ]]=Sheet2!WK$12)),"")</f>
        <v/>
      </c>
      <c r="WL13" t="str" cm="1">
        <f t="array" ref="WL13">IF(WL$12&lt;&gt;"",_xlfn.UNIQUE(_xlfn._xlws.FILTER(RAW[[#All],[Room Type]],RAW[[#All],[Hotel / Resort Name ]]=Sheet2!WL$12)),"")</f>
        <v/>
      </c>
      <c r="WM13" t="str" cm="1">
        <f t="array" ref="WM13">IF(WM$12&lt;&gt;"",_xlfn.UNIQUE(_xlfn._xlws.FILTER(RAW[[#All],[Room Type]],RAW[[#All],[Hotel / Resort Name ]]=Sheet2!WM$12)),"")</f>
        <v/>
      </c>
      <c r="WN13" t="str" cm="1">
        <f t="array" ref="WN13">IF(WN$12&lt;&gt;"",_xlfn.UNIQUE(_xlfn._xlws.FILTER(RAW[[#All],[Room Type]],RAW[[#All],[Hotel / Resort Name ]]=Sheet2!WN$12)),"")</f>
        <v/>
      </c>
      <c r="WO13" t="str" cm="1">
        <f t="array" ref="WO13">IF(WO$12&lt;&gt;"",_xlfn.UNIQUE(_xlfn._xlws.FILTER(RAW[[#All],[Room Type]],RAW[[#All],[Hotel / Resort Name ]]=Sheet2!WO$12)),"")</f>
        <v/>
      </c>
      <c r="WP13" t="str" cm="1">
        <f t="array" ref="WP13">IF(WP$12&lt;&gt;"",_xlfn.UNIQUE(_xlfn._xlws.FILTER(RAW[[#All],[Room Type]],RAW[[#All],[Hotel / Resort Name ]]=Sheet2!WP$12)),"")</f>
        <v/>
      </c>
      <c r="WQ13" t="str" cm="1">
        <f t="array" ref="WQ13">IF(WQ$12&lt;&gt;"",_xlfn.UNIQUE(_xlfn._xlws.FILTER(RAW[[#All],[Room Type]],RAW[[#All],[Hotel / Resort Name ]]=Sheet2!WQ$12)),"")</f>
        <v/>
      </c>
      <c r="WR13" t="str" cm="1">
        <f t="array" ref="WR13">IF(WR$12&lt;&gt;"",_xlfn.UNIQUE(_xlfn._xlws.FILTER(RAW[[#All],[Room Type]],RAW[[#All],[Hotel / Resort Name ]]=Sheet2!WR$12)),"")</f>
        <v/>
      </c>
      <c r="WS13" t="str" cm="1">
        <f t="array" ref="WS13">IF(WS$12&lt;&gt;"",_xlfn.UNIQUE(_xlfn._xlws.FILTER(RAW[[#All],[Room Type]],RAW[[#All],[Hotel / Resort Name ]]=Sheet2!WS$12)),"")</f>
        <v/>
      </c>
      <c r="WT13" t="str" cm="1">
        <f t="array" ref="WT13">IF(WT$12&lt;&gt;"",_xlfn.UNIQUE(_xlfn._xlws.FILTER(RAW[[#All],[Room Type]],RAW[[#All],[Hotel / Resort Name ]]=Sheet2!WT$12)),"")</f>
        <v/>
      </c>
      <c r="WU13" t="str" cm="1">
        <f t="array" ref="WU13">IF(WU$12&lt;&gt;"",_xlfn.UNIQUE(_xlfn._xlws.FILTER(RAW[[#All],[Room Type]],RAW[[#All],[Hotel / Resort Name ]]=Sheet2!WU$12)),"")</f>
        <v/>
      </c>
      <c r="WV13" t="str" cm="1">
        <f t="array" ref="WV13">IF(WV$12&lt;&gt;"",_xlfn.UNIQUE(_xlfn._xlws.FILTER(RAW[[#All],[Room Type]],RAW[[#All],[Hotel / Resort Name ]]=Sheet2!WV$12)),"")</f>
        <v/>
      </c>
      <c r="WW13" t="str" cm="1">
        <f t="array" ref="WW13">IF(WW$12&lt;&gt;"",_xlfn.UNIQUE(_xlfn._xlws.FILTER(RAW[[#All],[Room Type]],RAW[[#All],[Hotel / Resort Name ]]=Sheet2!WW$12)),"")</f>
        <v/>
      </c>
      <c r="WX13" t="str" cm="1">
        <f t="array" ref="WX13">IF(WX$12&lt;&gt;"",_xlfn.UNIQUE(_xlfn._xlws.FILTER(RAW[[#All],[Room Type]],RAW[[#All],[Hotel / Resort Name ]]=Sheet2!WX$12)),"")</f>
        <v/>
      </c>
      <c r="WY13" t="str" cm="1">
        <f t="array" ref="WY13">IF(WY$12&lt;&gt;"",_xlfn.UNIQUE(_xlfn._xlws.FILTER(RAW[[#All],[Room Type]],RAW[[#All],[Hotel / Resort Name ]]=Sheet2!WY$12)),"")</f>
        <v/>
      </c>
      <c r="WZ13" t="str" cm="1">
        <f t="array" ref="WZ13">IF(WZ$12&lt;&gt;"",_xlfn.UNIQUE(_xlfn._xlws.FILTER(RAW[[#All],[Room Type]],RAW[[#All],[Hotel / Resort Name ]]=Sheet2!WZ$12)),"")</f>
        <v/>
      </c>
      <c r="XA13" t="str" cm="1">
        <f t="array" ref="XA13">IF(XA$12&lt;&gt;"",_xlfn.UNIQUE(_xlfn._xlws.FILTER(RAW[[#All],[Room Type]],RAW[[#All],[Hotel / Resort Name ]]=Sheet2!XA$12)),"")</f>
        <v/>
      </c>
      <c r="XB13" t="str" cm="1">
        <f t="array" ref="XB13">IF(XB$12&lt;&gt;"",_xlfn.UNIQUE(_xlfn._xlws.FILTER(RAW[[#All],[Room Type]],RAW[[#All],[Hotel / Resort Name ]]=Sheet2!XB$12)),"")</f>
        <v/>
      </c>
      <c r="XC13" t="str" cm="1">
        <f t="array" ref="XC13">IF(XC$12&lt;&gt;"",_xlfn.UNIQUE(_xlfn._xlws.FILTER(RAW[[#All],[Room Type]],RAW[[#All],[Hotel / Resort Name ]]=Sheet2!XC$12)),"")</f>
        <v/>
      </c>
      <c r="XD13" t="str" cm="1">
        <f t="array" ref="XD13">IF(XD$12&lt;&gt;"",_xlfn.UNIQUE(_xlfn._xlws.FILTER(RAW[[#All],[Room Type]],RAW[[#All],[Hotel / Resort Name ]]=Sheet2!XD$12)),"")</f>
        <v/>
      </c>
      <c r="XE13" t="str" cm="1">
        <f t="array" ref="XE13">IF(XE$12&lt;&gt;"",_xlfn.UNIQUE(_xlfn._xlws.FILTER(RAW[[#All],[Room Type]],RAW[[#All],[Hotel / Resort Name ]]=Sheet2!XE$12)),"")</f>
        <v/>
      </c>
      <c r="XF13" t="str" cm="1">
        <f t="array" ref="XF13">IF(XF$12&lt;&gt;"",_xlfn.UNIQUE(_xlfn._xlws.FILTER(RAW[[#All],[Room Type]],RAW[[#All],[Hotel / Resort Name ]]=Sheet2!XF$12)),"")</f>
        <v/>
      </c>
      <c r="XG13" t="str" cm="1">
        <f t="array" ref="XG13">IF(XG$12&lt;&gt;"",_xlfn.UNIQUE(_xlfn._xlws.FILTER(RAW[[#All],[Room Type]],RAW[[#All],[Hotel / Resort Name ]]=Sheet2!XG$12)),"")</f>
        <v/>
      </c>
      <c r="XH13" t="str" cm="1">
        <f t="array" ref="XH13">IF(XH$12&lt;&gt;"",_xlfn.UNIQUE(_xlfn._xlws.FILTER(RAW[[#All],[Room Type]],RAW[[#All],[Hotel / Resort Name ]]=Sheet2!XH$12)),"")</f>
        <v/>
      </c>
      <c r="XI13" t="str" cm="1">
        <f t="array" ref="XI13">IF(XI$12&lt;&gt;"",_xlfn.UNIQUE(_xlfn._xlws.FILTER(RAW[[#All],[Room Type]],RAW[[#All],[Hotel / Resort Name ]]=Sheet2!XI$12)),"")</f>
        <v/>
      </c>
      <c r="XJ13" t="str" cm="1">
        <f t="array" ref="XJ13">IF(XJ$12&lt;&gt;"",_xlfn.UNIQUE(_xlfn._xlws.FILTER(RAW[[#All],[Room Type]],RAW[[#All],[Hotel / Resort Name ]]=Sheet2!XJ$12)),"")</f>
        <v/>
      </c>
      <c r="XK13" t="str" cm="1">
        <f t="array" ref="XK13">IF(XK$12&lt;&gt;"",_xlfn.UNIQUE(_xlfn._xlws.FILTER(RAW[[#All],[Room Type]],RAW[[#All],[Hotel / Resort Name ]]=Sheet2!XK$12)),"")</f>
        <v/>
      </c>
      <c r="XL13" t="str" cm="1">
        <f t="array" ref="XL13">IF(XL$12&lt;&gt;"",_xlfn.UNIQUE(_xlfn._xlws.FILTER(RAW[[#All],[Room Type]],RAW[[#All],[Hotel / Resort Name ]]=Sheet2!XL$12)),"")</f>
        <v/>
      </c>
      <c r="XM13" t="str" cm="1">
        <f t="array" ref="XM13">IF(XM$12&lt;&gt;"",_xlfn.UNIQUE(_xlfn._xlws.FILTER(RAW[[#All],[Room Type]],RAW[[#All],[Hotel / Resort Name ]]=Sheet2!XM$12)),"")</f>
        <v/>
      </c>
      <c r="XN13" t="str" cm="1">
        <f t="array" ref="XN13">IF(XN$12&lt;&gt;"",_xlfn.UNIQUE(_xlfn._xlws.FILTER(RAW[[#All],[Room Type]],RAW[[#All],[Hotel / Resort Name ]]=Sheet2!XN$12)),"")</f>
        <v/>
      </c>
      <c r="XO13" t="str" cm="1">
        <f t="array" ref="XO13">IF(XO$12&lt;&gt;"",_xlfn.UNIQUE(_xlfn._xlws.FILTER(RAW[[#All],[Room Type]],RAW[[#All],[Hotel / Resort Name ]]=Sheet2!XO$12)),"")</f>
        <v/>
      </c>
      <c r="XP13" t="str" cm="1">
        <f t="array" ref="XP13">IF(XP$12&lt;&gt;"",_xlfn.UNIQUE(_xlfn._xlws.FILTER(RAW[[#All],[Room Type]],RAW[[#All],[Hotel / Resort Name ]]=Sheet2!XP$12)),"")</f>
        <v/>
      </c>
      <c r="XQ13" t="str" cm="1">
        <f t="array" ref="XQ13">IF(XQ$12&lt;&gt;"",_xlfn.UNIQUE(_xlfn._xlws.FILTER(RAW[[#All],[Room Type]],RAW[[#All],[Hotel / Resort Name ]]=Sheet2!XQ$12)),"")</f>
        <v/>
      </c>
      <c r="XR13" t="str" cm="1">
        <f t="array" ref="XR13">IF(XR$12&lt;&gt;"",_xlfn.UNIQUE(_xlfn._xlws.FILTER(RAW[[#All],[Room Type]],RAW[[#All],[Hotel / Resort Name ]]=Sheet2!XR$12)),"")</f>
        <v/>
      </c>
      <c r="XS13" t="str" cm="1">
        <f t="array" ref="XS13">IF(XS$12&lt;&gt;"",_xlfn.UNIQUE(_xlfn._xlws.FILTER(RAW[[#All],[Room Type]],RAW[[#All],[Hotel / Resort Name ]]=Sheet2!XS$12)),"")</f>
        <v/>
      </c>
      <c r="XT13" t="str" cm="1">
        <f t="array" ref="XT13">IF(XT$12&lt;&gt;"",_xlfn.UNIQUE(_xlfn._xlws.FILTER(RAW[[#All],[Room Type]],RAW[[#All],[Hotel / Resort Name ]]=Sheet2!XT$12)),"")</f>
        <v/>
      </c>
      <c r="XU13" t="str" cm="1">
        <f t="array" ref="XU13">IF(XU$12&lt;&gt;"",_xlfn.UNIQUE(_xlfn._xlws.FILTER(RAW[[#All],[Room Type]],RAW[[#All],[Hotel / Resort Name ]]=Sheet2!XU$12)),"")</f>
        <v/>
      </c>
      <c r="XV13" t="str" cm="1">
        <f t="array" ref="XV13">IF(XV$12&lt;&gt;"",_xlfn.UNIQUE(_xlfn._xlws.FILTER(RAW[[#All],[Room Type]],RAW[[#All],[Hotel / Resort Name ]]=Sheet2!XV$12)),"")</f>
        <v/>
      </c>
      <c r="XW13" t="str" cm="1">
        <f t="array" ref="XW13">IF(XW$12&lt;&gt;"",_xlfn.UNIQUE(_xlfn._xlws.FILTER(RAW[[#All],[Room Type]],RAW[[#All],[Hotel / Resort Name ]]=Sheet2!XW$12)),"")</f>
        <v/>
      </c>
      <c r="XX13" t="str" cm="1">
        <f t="array" ref="XX13">IF(XX$12&lt;&gt;"",_xlfn.UNIQUE(_xlfn._xlws.FILTER(RAW[[#All],[Room Type]],RAW[[#All],[Hotel / Resort Name ]]=Sheet2!XX$12)),"")</f>
        <v/>
      </c>
      <c r="XY13" t="str" cm="1">
        <f t="array" ref="XY13">IF(XY$12&lt;&gt;"",_xlfn.UNIQUE(_xlfn._xlws.FILTER(RAW[[#All],[Room Type]],RAW[[#All],[Hotel / Resort Name ]]=Sheet2!XY$12)),"")</f>
        <v/>
      </c>
      <c r="XZ13" t="str" cm="1">
        <f t="array" ref="XZ13">IF(XZ$12&lt;&gt;"",_xlfn.UNIQUE(_xlfn._xlws.FILTER(RAW[[#All],[Room Type]],RAW[[#All],[Hotel / Resort Name ]]=Sheet2!XZ$12)),"")</f>
        <v/>
      </c>
      <c r="YA13" t="str" cm="1">
        <f t="array" ref="YA13">IF(YA$12&lt;&gt;"",_xlfn.UNIQUE(_xlfn._xlws.FILTER(RAW[[#All],[Room Type]],RAW[[#All],[Hotel / Resort Name ]]=Sheet2!YA$12)),"")</f>
        <v/>
      </c>
      <c r="YB13" t="str" cm="1">
        <f t="array" ref="YB13">IF(YB$12&lt;&gt;"",_xlfn.UNIQUE(_xlfn._xlws.FILTER(RAW[[#All],[Room Type]],RAW[[#All],[Hotel / Resort Name ]]=Sheet2!YB$12)),"")</f>
        <v/>
      </c>
      <c r="YC13" t="str" cm="1">
        <f t="array" ref="YC13">IF(YC$12&lt;&gt;"",_xlfn.UNIQUE(_xlfn._xlws.FILTER(RAW[[#All],[Room Type]],RAW[[#All],[Hotel / Resort Name ]]=Sheet2!YC$12)),"")</f>
        <v/>
      </c>
      <c r="YD13" t="str" cm="1">
        <f t="array" ref="YD13">IF(YD$12&lt;&gt;"",_xlfn.UNIQUE(_xlfn._xlws.FILTER(RAW[[#All],[Room Type]],RAW[[#All],[Hotel / Resort Name ]]=Sheet2!YD$12)),"")</f>
        <v/>
      </c>
      <c r="YE13" t="str" cm="1">
        <f t="array" ref="YE13">IF(YE$12&lt;&gt;"",_xlfn.UNIQUE(_xlfn._xlws.FILTER(RAW[[#All],[Room Type]],RAW[[#All],[Hotel / Resort Name ]]=Sheet2!YE$12)),"")</f>
        <v/>
      </c>
      <c r="YF13" t="str" cm="1">
        <f t="array" ref="YF13">IF(YF$12&lt;&gt;"",_xlfn.UNIQUE(_xlfn._xlws.FILTER(RAW[[#All],[Room Type]],RAW[[#All],[Hotel / Resort Name ]]=Sheet2!YF$12)),"")</f>
        <v/>
      </c>
      <c r="YG13" t="str" cm="1">
        <f t="array" ref="YG13">IF(YG$12&lt;&gt;"",_xlfn.UNIQUE(_xlfn._xlws.FILTER(RAW[[#All],[Room Type]],RAW[[#All],[Hotel / Resort Name ]]=Sheet2!YG$12)),"")</f>
        <v/>
      </c>
      <c r="YH13" t="str" cm="1">
        <f t="array" ref="YH13">IF(YH$12&lt;&gt;"",_xlfn.UNIQUE(_xlfn._xlws.FILTER(RAW[[#All],[Room Type]],RAW[[#All],[Hotel / Resort Name ]]=Sheet2!YH$12)),"")</f>
        <v/>
      </c>
      <c r="YI13" t="str" cm="1">
        <f t="array" ref="YI13">IF(YI$12&lt;&gt;"",_xlfn.UNIQUE(_xlfn._xlws.FILTER(RAW[[#All],[Room Type]],RAW[[#All],[Hotel / Resort Name ]]=Sheet2!YI$12)),"")</f>
        <v/>
      </c>
      <c r="YJ13" t="str" cm="1">
        <f t="array" ref="YJ13">IF(YJ$12&lt;&gt;"",_xlfn.UNIQUE(_xlfn._xlws.FILTER(RAW[[#All],[Room Type]],RAW[[#All],[Hotel / Resort Name ]]=Sheet2!YJ$12)),"")</f>
        <v/>
      </c>
      <c r="YK13" t="str" cm="1">
        <f t="array" ref="YK13">IF(YK$12&lt;&gt;"",_xlfn.UNIQUE(_xlfn._xlws.FILTER(RAW[[#All],[Room Type]],RAW[[#All],[Hotel / Resort Name ]]=Sheet2!YK$12)),"")</f>
        <v/>
      </c>
      <c r="YL13" t="str" cm="1">
        <f t="array" ref="YL13">IF(YL$12&lt;&gt;"",_xlfn.UNIQUE(_xlfn._xlws.FILTER(RAW[[#All],[Room Type]],RAW[[#All],[Hotel / Resort Name ]]=Sheet2!YL$12)),"")</f>
        <v/>
      </c>
      <c r="YM13" t="str" cm="1">
        <f t="array" ref="YM13">IF(YM$12&lt;&gt;"",_xlfn.UNIQUE(_xlfn._xlws.FILTER(RAW[[#All],[Room Type]],RAW[[#All],[Hotel / Resort Name ]]=Sheet2!YM$12)),"")</f>
        <v/>
      </c>
      <c r="YN13" t="str" cm="1">
        <f t="array" ref="YN13">IF(YN$12&lt;&gt;"",_xlfn.UNIQUE(_xlfn._xlws.FILTER(RAW[[#All],[Room Type]],RAW[[#All],[Hotel / Resort Name ]]=Sheet2!YN$12)),"")</f>
        <v/>
      </c>
      <c r="YO13" t="str" cm="1">
        <f t="array" ref="YO13">IF(YO$12&lt;&gt;"",_xlfn.UNIQUE(_xlfn._xlws.FILTER(RAW[[#All],[Room Type]],RAW[[#All],[Hotel / Resort Name ]]=Sheet2!YO$12)),"")</f>
        <v/>
      </c>
      <c r="YP13" t="str" cm="1">
        <f t="array" ref="YP13">IF(YP$12&lt;&gt;"",_xlfn.UNIQUE(_xlfn._xlws.FILTER(RAW[[#All],[Room Type]],RAW[[#All],[Hotel / Resort Name ]]=Sheet2!YP$12)),"")</f>
        <v/>
      </c>
      <c r="YQ13" t="str" cm="1">
        <f t="array" ref="YQ13">IF(YQ$12&lt;&gt;"",_xlfn.UNIQUE(_xlfn._xlws.FILTER(RAW[[#All],[Room Type]],RAW[[#All],[Hotel / Resort Name ]]=Sheet2!YQ$12)),"")</f>
        <v/>
      </c>
      <c r="YR13" t="str" cm="1">
        <f t="array" ref="YR13">IF(YR$12&lt;&gt;"",_xlfn.UNIQUE(_xlfn._xlws.FILTER(RAW[[#All],[Room Type]],RAW[[#All],[Hotel / Resort Name ]]=Sheet2!YR$12)),"")</f>
        <v/>
      </c>
      <c r="YS13" t="str" cm="1">
        <f t="array" ref="YS13">IF(YS$12&lt;&gt;"",_xlfn.UNIQUE(_xlfn._xlws.FILTER(RAW[[#All],[Room Type]],RAW[[#All],[Hotel / Resort Name ]]=Sheet2!YS$12)),"")</f>
        <v/>
      </c>
      <c r="YT13" t="str" cm="1">
        <f t="array" ref="YT13">IF(YT$12&lt;&gt;"",_xlfn.UNIQUE(_xlfn._xlws.FILTER(RAW[[#All],[Room Type]],RAW[[#All],[Hotel / Resort Name ]]=Sheet2!YT$12)),"")</f>
        <v/>
      </c>
      <c r="YU13" t="str" cm="1">
        <f t="array" ref="YU13">IF(YU$12&lt;&gt;"",_xlfn.UNIQUE(_xlfn._xlws.FILTER(RAW[[#All],[Room Type]],RAW[[#All],[Hotel / Resort Name ]]=Sheet2!YU$12)),"")</f>
        <v/>
      </c>
      <c r="YV13" t="str" cm="1">
        <f t="array" ref="YV13">IF(YV$12&lt;&gt;"",_xlfn.UNIQUE(_xlfn._xlws.FILTER(RAW[[#All],[Room Type]],RAW[[#All],[Hotel / Resort Name ]]=Sheet2!YV$12)),"")</f>
        <v/>
      </c>
      <c r="YW13" t="str" cm="1">
        <f t="array" ref="YW13">IF(YW$12&lt;&gt;"",_xlfn.UNIQUE(_xlfn._xlws.FILTER(RAW[[#All],[Room Type]],RAW[[#All],[Hotel / Resort Name ]]=Sheet2!YW$12)),"")</f>
        <v/>
      </c>
      <c r="YX13" t="str" cm="1">
        <f t="array" ref="YX13">IF(YX$12&lt;&gt;"",_xlfn.UNIQUE(_xlfn._xlws.FILTER(RAW[[#All],[Room Type]],RAW[[#All],[Hotel / Resort Name ]]=Sheet2!YX$12)),"")</f>
        <v/>
      </c>
      <c r="YY13" t="str" cm="1">
        <f t="array" ref="YY13">IF(YY$12&lt;&gt;"",_xlfn.UNIQUE(_xlfn._xlws.FILTER(RAW[[#All],[Room Type]],RAW[[#All],[Hotel / Resort Name ]]=Sheet2!YY$12)),"")</f>
        <v/>
      </c>
      <c r="YZ13" t="str" cm="1">
        <f t="array" ref="YZ13">IF(YZ$12&lt;&gt;"",_xlfn.UNIQUE(_xlfn._xlws.FILTER(RAW[[#All],[Room Type]],RAW[[#All],[Hotel / Resort Name ]]=Sheet2!YZ$12)),"")</f>
        <v/>
      </c>
      <c r="ZA13" t="str" cm="1">
        <f t="array" ref="ZA13">IF(ZA$12&lt;&gt;"",_xlfn.UNIQUE(_xlfn._xlws.FILTER(RAW[[#All],[Room Type]],RAW[[#All],[Hotel / Resort Name ]]=Sheet2!ZA$12)),"")</f>
        <v/>
      </c>
      <c r="ZB13" t="str" cm="1">
        <f t="array" ref="ZB13">IF(ZB$12&lt;&gt;"",_xlfn.UNIQUE(_xlfn._xlws.FILTER(RAW[[#All],[Room Type]],RAW[[#All],[Hotel / Resort Name ]]=Sheet2!ZB$12)),"")</f>
        <v/>
      </c>
      <c r="ZC13" t="str" cm="1">
        <f t="array" ref="ZC13">IF(ZC$12&lt;&gt;"",_xlfn.UNIQUE(_xlfn._xlws.FILTER(RAW[[#All],[Room Type]],RAW[[#All],[Hotel / Resort Name ]]=Sheet2!ZC$12)),"")</f>
        <v/>
      </c>
      <c r="ZD13" t="str" cm="1">
        <f t="array" ref="ZD13">IF(ZD$12&lt;&gt;"",_xlfn.UNIQUE(_xlfn._xlws.FILTER(RAW[[#All],[Room Type]],RAW[[#All],[Hotel / Resort Name ]]=Sheet2!ZD$12)),"")</f>
        <v/>
      </c>
      <c r="ZE13" t="str" cm="1">
        <f t="array" ref="ZE13">IF(ZE$12&lt;&gt;"",_xlfn.UNIQUE(_xlfn._xlws.FILTER(RAW[[#All],[Room Type]],RAW[[#All],[Hotel / Resort Name ]]=Sheet2!ZE$12)),"")</f>
        <v/>
      </c>
      <c r="ZF13" t="str" cm="1">
        <f t="array" ref="ZF13">IF(ZF$12&lt;&gt;"",_xlfn.UNIQUE(_xlfn._xlws.FILTER(RAW[[#All],[Room Type]],RAW[[#All],[Hotel / Resort Name ]]=Sheet2!ZF$12)),"")</f>
        <v/>
      </c>
      <c r="ZG13" t="str" cm="1">
        <f t="array" ref="ZG13">IF(ZG$12&lt;&gt;"",_xlfn.UNIQUE(_xlfn._xlws.FILTER(RAW[[#All],[Room Type]],RAW[[#All],[Hotel / Resort Name ]]=Sheet2!ZG$12)),"")</f>
        <v/>
      </c>
      <c r="ZH13" t="str" cm="1">
        <f t="array" ref="ZH13">IF(ZH$12&lt;&gt;"",_xlfn.UNIQUE(_xlfn._xlws.FILTER(RAW[[#All],[Room Type]],RAW[[#All],[Hotel / Resort Name ]]=Sheet2!ZH$12)),"")</f>
        <v/>
      </c>
      <c r="ZI13" t="str" cm="1">
        <f t="array" ref="ZI13">IF(ZI$12&lt;&gt;"",_xlfn.UNIQUE(_xlfn._xlws.FILTER(RAW[[#All],[Room Type]],RAW[[#All],[Hotel / Resort Name ]]=Sheet2!ZI$12)),"")</f>
        <v/>
      </c>
      <c r="ZJ13" t="str" cm="1">
        <f t="array" ref="ZJ13">IF(ZJ$12&lt;&gt;"",_xlfn.UNIQUE(_xlfn._xlws.FILTER(RAW[[#All],[Room Type]],RAW[[#All],[Hotel / Resort Name ]]=Sheet2!ZJ$12)),"")</f>
        <v/>
      </c>
      <c r="ZK13" t="str" cm="1">
        <f t="array" ref="ZK13">IF(ZK$12&lt;&gt;"",_xlfn.UNIQUE(_xlfn._xlws.FILTER(RAW[[#All],[Room Type]],RAW[[#All],[Hotel / Resort Name ]]=Sheet2!ZK$12)),"")</f>
        <v/>
      </c>
      <c r="ZL13" t="str" cm="1">
        <f t="array" ref="ZL13">IF(ZL$12&lt;&gt;"",_xlfn.UNIQUE(_xlfn._xlws.FILTER(RAW[[#All],[Room Type]],RAW[[#All],[Hotel / Resort Name ]]=Sheet2!ZL$12)),"")</f>
        <v/>
      </c>
      <c r="ZM13" t="str" cm="1">
        <f t="array" ref="ZM13">IF(ZM$12&lt;&gt;"",_xlfn.UNIQUE(_xlfn._xlws.FILTER(RAW[[#All],[Room Type]],RAW[[#All],[Hotel / Resort Name ]]=Sheet2!ZM$12)),"")</f>
        <v/>
      </c>
      <c r="ZN13" t="str" cm="1">
        <f t="array" ref="ZN13">IF(ZN$12&lt;&gt;"",_xlfn.UNIQUE(_xlfn._xlws.FILTER(RAW[[#All],[Room Type]],RAW[[#All],[Hotel / Resort Name ]]=Sheet2!ZN$12)),"")</f>
        <v/>
      </c>
      <c r="ZO13" t="str" cm="1">
        <f t="array" ref="ZO13">IF(ZO$12&lt;&gt;"",_xlfn.UNIQUE(_xlfn._xlws.FILTER(RAW[[#All],[Room Type]],RAW[[#All],[Hotel / Resort Name ]]=Sheet2!ZO$12)),"")</f>
        <v/>
      </c>
      <c r="ZP13" t="str" cm="1">
        <f t="array" ref="ZP13">IF(ZP$12&lt;&gt;"",_xlfn.UNIQUE(_xlfn._xlws.FILTER(RAW[[#All],[Room Type]],RAW[[#All],[Hotel / Resort Name ]]=Sheet2!ZP$12)),"")</f>
        <v/>
      </c>
      <c r="ZQ13" t="str" cm="1">
        <f t="array" ref="ZQ13">IF(ZQ$12&lt;&gt;"",_xlfn.UNIQUE(_xlfn._xlws.FILTER(RAW[[#All],[Room Type]],RAW[[#All],[Hotel / Resort Name ]]=Sheet2!ZQ$12)),"")</f>
        <v/>
      </c>
      <c r="ZR13" t="str" cm="1">
        <f t="array" ref="ZR13">IF(ZR$12&lt;&gt;"",_xlfn.UNIQUE(_xlfn._xlws.FILTER(RAW[[#All],[Room Type]],RAW[[#All],[Hotel / Resort Name ]]=Sheet2!ZR$12)),"")</f>
        <v/>
      </c>
      <c r="ZS13" t="str" cm="1">
        <f t="array" ref="ZS13">IF(ZS$12&lt;&gt;"",_xlfn.UNIQUE(_xlfn._xlws.FILTER(RAW[[#All],[Room Type]],RAW[[#All],[Hotel / Resort Name ]]=Sheet2!ZS$12)),"")</f>
        <v/>
      </c>
      <c r="ZT13" t="str" cm="1">
        <f t="array" ref="ZT13">IF(ZT$12&lt;&gt;"",_xlfn.UNIQUE(_xlfn._xlws.FILTER(RAW[[#All],[Room Type]],RAW[[#All],[Hotel / Resort Name ]]=Sheet2!ZT$12)),"")</f>
        <v/>
      </c>
      <c r="ZU13" t="str" cm="1">
        <f t="array" ref="ZU13">IF(ZU$12&lt;&gt;"",_xlfn.UNIQUE(_xlfn._xlws.FILTER(RAW[[#All],[Room Type]],RAW[[#All],[Hotel / Resort Name ]]=Sheet2!ZU$12)),"")</f>
        <v/>
      </c>
      <c r="ZV13" t="str" cm="1">
        <f t="array" ref="ZV13">IF(ZV$12&lt;&gt;"",_xlfn.UNIQUE(_xlfn._xlws.FILTER(RAW[[#All],[Room Type]],RAW[[#All],[Hotel / Resort Name ]]=Sheet2!ZV$12)),"")</f>
        <v/>
      </c>
      <c r="ZW13" t="str" cm="1">
        <f t="array" ref="ZW13">IF(ZW$12&lt;&gt;"",_xlfn.UNIQUE(_xlfn._xlws.FILTER(RAW[[#All],[Room Type]],RAW[[#All],[Hotel / Resort Name ]]=Sheet2!ZW$12)),"")</f>
        <v/>
      </c>
      <c r="ZX13" t="str" cm="1">
        <f t="array" ref="ZX13">IF(ZX$12&lt;&gt;"",_xlfn.UNIQUE(_xlfn._xlws.FILTER(RAW[[#All],[Room Type]],RAW[[#All],[Hotel / Resort Name ]]=Sheet2!ZX$12)),"")</f>
        <v/>
      </c>
      <c r="ZY13" t="str" cm="1">
        <f t="array" ref="ZY13">IF(ZY$12&lt;&gt;"",_xlfn.UNIQUE(_xlfn._xlws.FILTER(RAW[[#All],[Room Type]],RAW[[#All],[Hotel / Resort Name ]]=Sheet2!ZY$12)),"")</f>
        <v/>
      </c>
      <c r="ZZ13" t="str" cm="1">
        <f t="array" ref="ZZ13">IF(ZZ$12&lt;&gt;"",_xlfn.UNIQUE(_xlfn._xlws.FILTER(RAW[[#All],[Room Type]],RAW[[#All],[Hotel / Resort Name ]]=Sheet2!ZZ$12)),"")</f>
        <v/>
      </c>
      <c r="AAA13" t="str" cm="1">
        <f t="array" ref="AAA13">IF(AAA$12&lt;&gt;"",_xlfn.UNIQUE(_xlfn._xlws.FILTER(RAW[[#All],[Room Type]],RAW[[#All],[Hotel / Resort Name ]]=Sheet2!AAA$12)),"")</f>
        <v/>
      </c>
      <c r="AAB13" t="str" cm="1">
        <f t="array" ref="AAB13">IF(AAB$12&lt;&gt;"",_xlfn.UNIQUE(_xlfn._xlws.FILTER(RAW[[#All],[Room Type]],RAW[[#All],[Hotel / Resort Name ]]=Sheet2!AAB$12)),"")</f>
        <v/>
      </c>
      <c r="AAC13" t="str" cm="1">
        <f t="array" ref="AAC13">IF(AAC$12&lt;&gt;"",_xlfn.UNIQUE(_xlfn._xlws.FILTER(RAW[[#All],[Room Type]],RAW[[#All],[Hotel / Resort Name ]]=Sheet2!AAC$12)),"")</f>
        <v/>
      </c>
      <c r="AAD13" t="str" cm="1">
        <f t="array" ref="AAD13">IF(AAD$12&lt;&gt;"",_xlfn.UNIQUE(_xlfn._xlws.FILTER(RAW[[#All],[Room Type]],RAW[[#All],[Hotel / Resort Name ]]=Sheet2!AAD$12)),"")</f>
        <v/>
      </c>
      <c r="AAE13" t="str" cm="1">
        <f t="array" ref="AAE13">IF(AAE$12&lt;&gt;"",_xlfn.UNIQUE(_xlfn._xlws.FILTER(RAW[[#All],[Room Type]],RAW[[#All],[Hotel / Resort Name ]]=Sheet2!AAE$12)),"")</f>
        <v/>
      </c>
      <c r="AAF13" t="str" cm="1">
        <f t="array" ref="AAF13">IF(AAF$12&lt;&gt;"",_xlfn.UNIQUE(_xlfn._xlws.FILTER(RAW[[#All],[Room Type]],RAW[[#All],[Hotel / Resort Name ]]=Sheet2!AAF$12)),"")</f>
        <v/>
      </c>
      <c r="AAG13" t="str" cm="1">
        <f t="array" ref="AAG13">IF(AAG$12&lt;&gt;"",_xlfn.UNIQUE(_xlfn._xlws.FILTER(RAW[[#All],[Room Type]],RAW[[#All],[Hotel / Resort Name ]]=Sheet2!AAG$12)),"")</f>
        <v/>
      </c>
      <c r="AAH13" t="str" cm="1">
        <f t="array" ref="AAH13">IF(AAH$12&lt;&gt;"",_xlfn.UNIQUE(_xlfn._xlws.FILTER(RAW[[#All],[Room Type]],RAW[[#All],[Hotel / Resort Name ]]=Sheet2!AAH$12)),"")</f>
        <v/>
      </c>
      <c r="AAI13" t="str" cm="1">
        <f t="array" ref="AAI13">IF(AAI$12&lt;&gt;"",_xlfn.UNIQUE(_xlfn._xlws.FILTER(RAW[[#All],[Room Type]],RAW[[#All],[Hotel / Resort Name ]]=Sheet2!AAI$12)),"")</f>
        <v/>
      </c>
      <c r="AAJ13" t="str" cm="1">
        <f t="array" ref="AAJ13">IF(AAJ$12&lt;&gt;"",_xlfn.UNIQUE(_xlfn._xlws.FILTER(RAW[[#All],[Room Type]],RAW[[#All],[Hotel / Resort Name ]]=Sheet2!AAJ$12)),"")</f>
        <v/>
      </c>
      <c r="AAK13" t="str" cm="1">
        <f t="array" ref="AAK13">IF(AAK$12&lt;&gt;"",_xlfn.UNIQUE(_xlfn._xlws.FILTER(RAW[[#All],[Room Type]],RAW[[#All],[Hotel / Resort Name ]]=Sheet2!AAK$12)),"")</f>
        <v/>
      </c>
      <c r="AAL13" t="str" cm="1">
        <f t="array" ref="AAL13">IF(AAL$12&lt;&gt;"",_xlfn.UNIQUE(_xlfn._xlws.FILTER(RAW[[#All],[Room Type]],RAW[[#All],[Hotel / Resort Name ]]=Sheet2!AAL$12)),"")</f>
        <v/>
      </c>
      <c r="AAM13" t="str" cm="1">
        <f t="array" ref="AAM13">IF(AAM$12&lt;&gt;"",_xlfn.UNIQUE(_xlfn._xlws.FILTER(RAW[[#All],[Room Type]],RAW[[#All],[Hotel / Resort Name ]]=Sheet2!AAM$12)),"")</f>
        <v/>
      </c>
      <c r="AAN13" t="str" cm="1">
        <f t="array" ref="AAN13">IF(AAN$12&lt;&gt;"",_xlfn.UNIQUE(_xlfn._xlws.FILTER(RAW[[#All],[Room Type]],RAW[[#All],[Hotel / Resort Name ]]=Sheet2!AAN$12)),"")</f>
        <v/>
      </c>
      <c r="AAO13" t="str" cm="1">
        <f t="array" ref="AAO13">IF(AAO$12&lt;&gt;"",_xlfn.UNIQUE(_xlfn._xlws.FILTER(RAW[[#All],[Room Type]],RAW[[#All],[Hotel / Resort Name ]]=Sheet2!AAO$12)),"")</f>
        <v/>
      </c>
      <c r="AAP13" t="str" cm="1">
        <f t="array" ref="AAP13">IF(AAP$12&lt;&gt;"",_xlfn.UNIQUE(_xlfn._xlws.FILTER(RAW[[#All],[Room Type]],RAW[[#All],[Hotel / Resort Name ]]=Sheet2!AAP$12)),"")</f>
        <v/>
      </c>
      <c r="AAQ13" t="str" cm="1">
        <f t="array" ref="AAQ13">IF(AAQ$12&lt;&gt;"",_xlfn.UNIQUE(_xlfn._xlws.FILTER(RAW[[#All],[Room Type]],RAW[[#All],[Hotel / Resort Name ]]=Sheet2!AAQ$12)),"")</f>
        <v/>
      </c>
      <c r="AAR13" t="str" cm="1">
        <f t="array" ref="AAR13">IF(AAR$12&lt;&gt;"",_xlfn.UNIQUE(_xlfn._xlws.FILTER(RAW[[#All],[Room Type]],RAW[[#All],[Hotel / Resort Name ]]=Sheet2!AAR$12)),"")</f>
        <v/>
      </c>
      <c r="AAS13" t="str" cm="1">
        <f t="array" ref="AAS13">IF(AAS$12&lt;&gt;"",_xlfn.UNIQUE(_xlfn._xlws.FILTER(RAW[[#All],[Room Type]],RAW[[#All],[Hotel / Resort Name ]]=Sheet2!AAS$12)),"")</f>
        <v/>
      </c>
      <c r="AAT13" t="str" cm="1">
        <f t="array" ref="AAT13">IF(AAT$12&lt;&gt;"",_xlfn.UNIQUE(_xlfn._xlws.FILTER(RAW[[#All],[Room Type]],RAW[[#All],[Hotel / Resort Name ]]=Sheet2!AAT$12)),"")</f>
        <v/>
      </c>
      <c r="AAU13" t="str" cm="1">
        <f t="array" ref="AAU13">IF(AAU$12&lt;&gt;"",_xlfn.UNIQUE(_xlfn._xlws.FILTER(RAW[[#All],[Room Type]],RAW[[#All],[Hotel / Resort Name ]]=Sheet2!AAU$12)),"")</f>
        <v/>
      </c>
      <c r="AAV13" t="str" cm="1">
        <f t="array" ref="AAV13">IF(AAV$12&lt;&gt;"",_xlfn.UNIQUE(_xlfn._xlws.FILTER(RAW[[#All],[Room Type]],RAW[[#All],[Hotel / Resort Name ]]=Sheet2!AAV$12)),"")</f>
        <v/>
      </c>
      <c r="AAW13" t="str" cm="1">
        <f t="array" ref="AAW13">IF(AAW$12&lt;&gt;"",_xlfn.UNIQUE(_xlfn._xlws.FILTER(RAW[[#All],[Room Type]],RAW[[#All],[Hotel / Resort Name ]]=Sheet2!AAW$12)),"")</f>
        <v/>
      </c>
      <c r="AAX13" t="str" cm="1">
        <f t="array" ref="AAX13">IF(AAX$12&lt;&gt;"",_xlfn.UNIQUE(_xlfn._xlws.FILTER(RAW[[#All],[Room Type]],RAW[[#All],[Hotel / Resort Name ]]=Sheet2!AAX$12)),"")</f>
        <v/>
      </c>
      <c r="AAY13" t="str" cm="1">
        <f t="array" ref="AAY13">IF(AAY$12&lt;&gt;"",_xlfn.UNIQUE(_xlfn._xlws.FILTER(RAW[[#All],[Room Type]],RAW[[#All],[Hotel / Resort Name ]]=Sheet2!AAY$12)),"")</f>
        <v/>
      </c>
      <c r="AAZ13" t="str" cm="1">
        <f t="array" ref="AAZ13">IF(AAZ$12&lt;&gt;"",_xlfn.UNIQUE(_xlfn._xlws.FILTER(RAW[[#All],[Room Type]],RAW[[#All],[Hotel / Resort Name ]]=Sheet2!AAZ$12)),"")</f>
        <v/>
      </c>
      <c r="ABA13" t="str" cm="1">
        <f t="array" ref="ABA13">IF(ABA$12&lt;&gt;"",_xlfn.UNIQUE(_xlfn._xlws.FILTER(RAW[[#All],[Room Type]],RAW[[#All],[Hotel / Resort Name ]]=Sheet2!ABA$12)),"")</f>
        <v/>
      </c>
      <c r="ABB13" t="str" cm="1">
        <f t="array" ref="ABB13">IF(ABB$12&lt;&gt;"",_xlfn.UNIQUE(_xlfn._xlws.FILTER(RAW[[#All],[Room Type]],RAW[[#All],[Hotel / Resort Name ]]=Sheet2!ABB$12)),"")</f>
        <v/>
      </c>
      <c r="ABC13" t="str" cm="1">
        <f t="array" ref="ABC13">IF(ABC$12&lt;&gt;"",_xlfn.UNIQUE(_xlfn._xlws.FILTER(RAW[[#All],[Room Type]],RAW[[#All],[Hotel / Resort Name ]]=Sheet2!ABC$12)),"")</f>
        <v/>
      </c>
      <c r="ABD13" t="str" cm="1">
        <f t="array" ref="ABD13">IF(ABD$12&lt;&gt;"",_xlfn.UNIQUE(_xlfn._xlws.FILTER(RAW[[#All],[Room Type]],RAW[[#All],[Hotel / Resort Name ]]=Sheet2!ABD$12)),"")</f>
        <v/>
      </c>
      <c r="ABE13" t="str" cm="1">
        <f t="array" ref="ABE13">IF(ABE$12&lt;&gt;"",_xlfn.UNIQUE(_xlfn._xlws.FILTER(RAW[[#All],[Room Type]],RAW[[#All],[Hotel / Resort Name ]]=Sheet2!ABE$12)),"")</f>
        <v/>
      </c>
      <c r="ABF13" t="str" cm="1">
        <f t="array" ref="ABF13">IF(ABF$12&lt;&gt;"",_xlfn.UNIQUE(_xlfn._xlws.FILTER(RAW[[#All],[Room Type]],RAW[[#All],[Hotel / Resort Name ]]=Sheet2!ABF$12)),"")</f>
        <v/>
      </c>
      <c r="ABG13" t="str" cm="1">
        <f t="array" ref="ABG13">IF(ABG$12&lt;&gt;"",_xlfn.UNIQUE(_xlfn._xlws.FILTER(RAW[[#All],[Room Type]],RAW[[#All],[Hotel / Resort Name ]]=Sheet2!ABG$12)),"")</f>
        <v/>
      </c>
      <c r="ABH13" t="str" cm="1">
        <f t="array" ref="ABH13">IF(ABH$12&lt;&gt;"",_xlfn.UNIQUE(_xlfn._xlws.FILTER(RAW[[#All],[Room Type]],RAW[[#All],[Hotel / Resort Name ]]=Sheet2!ABH$12)),"")</f>
        <v/>
      </c>
      <c r="ABI13" t="str" cm="1">
        <f t="array" ref="ABI13">IF(ABI$12&lt;&gt;"",_xlfn.UNIQUE(_xlfn._xlws.FILTER(RAW[[#All],[Room Type]],RAW[[#All],[Hotel / Resort Name ]]=Sheet2!ABI$12)),"")</f>
        <v/>
      </c>
      <c r="ABJ13" t="str" cm="1">
        <f t="array" ref="ABJ13">IF(ABJ$12&lt;&gt;"",_xlfn.UNIQUE(_xlfn._xlws.FILTER(RAW[[#All],[Room Type]],RAW[[#All],[Hotel / Resort Name ]]=Sheet2!ABJ$12)),"")</f>
        <v/>
      </c>
      <c r="ABK13" t="str" cm="1">
        <f t="array" ref="ABK13">IF(ABK$12&lt;&gt;"",_xlfn.UNIQUE(_xlfn._xlws.FILTER(RAW[[#All],[Room Type]],RAW[[#All],[Hotel / Resort Name ]]=Sheet2!ABK$12)),"")</f>
        <v/>
      </c>
      <c r="ABL13" t="str" cm="1">
        <f t="array" ref="ABL13">IF(ABL$12&lt;&gt;"",_xlfn.UNIQUE(_xlfn._xlws.FILTER(RAW[[#All],[Room Type]],RAW[[#All],[Hotel / Resort Name ]]=Sheet2!ABL$12)),"")</f>
        <v/>
      </c>
      <c r="ABM13" t="str" cm="1">
        <f t="array" ref="ABM13">IF(ABM$12&lt;&gt;"",_xlfn.UNIQUE(_xlfn._xlws.FILTER(RAW[[#All],[Room Type]],RAW[[#All],[Hotel / Resort Name ]]=Sheet2!ABM$12)),"")</f>
        <v/>
      </c>
      <c r="ABN13" t="str" cm="1">
        <f t="array" ref="ABN13">IF(ABN$12&lt;&gt;"",_xlfn.UNIQUE(_xlfn._xlws.FILTER(RAW[[#All],[Room Type]],RAW[[#All],[Hotel / Resort Name ]]=Sheet2!ABN$12)),"")</f>
        <v/>
      </c>
      <c r="ABO13" t="str" cm="1">
        <f t="array" ref="ABO13">IF(ABO$12&lt;&gt;"",_xlfn.UNIQUE(_xlfn._xlws.FILTER(RAW[[#All],[Room Type]],RAW[[#All],[Hotel / Resort Name ]]=Sheet2!ABO$12)),"")</f>
        <v/>
      </c>
      <c r="ABP13" t="str" cm="1">
        <f t="array" ref="ABP13">IF(ABP$12&lt;&gt;"",_xlfn.UNIQUE(_xlfn._xlws.FILTER(RAW[[#All],[Room Type]],RAW[[#All],[Hotel / Resort Name ]]=Sheet2!ABP$12)),"")</f>
        <v/>
      </c>
      <c r="ABQ13" t="str" cm="1">
        <f t="array" ref="ABQ13">IF(ABQ$12&lt;&gt;"",_xlfn.UNIQUE(_xlfn._xlws.FILTER(RAW[[#All],[Room Type]],RAW[[#All],[Hotel / Resort Name ]]=Sheet2!ABQ$12)),"")</f>
        <v/>
      </c>
      <c r="ABR13" t="str" cm="1">
        <f t="array" ref="ABR13">IF(ABR$12&lt;&gt;"",_xlfn.UNIQUE(_xlfn._xlws.FILTER(RAW[[#All],[Room Type]],RAW[[#All],[Hotel / Resort Name ]]=Sheet2!ABR$12)),"")</f>
        <v/>
      </c>
      <c r="ABS13" t="str" cm="1">
        <f t="array" ref="ABS13">IF(ABS$12&lt;&gt;"",_xlfn.UNIQUE(_xlfn._xlws.FILTER(RAW[[#All],[Room Type]],RAW[[#All],[Hotel / Resort Name ]]=Sheet2!ABS$12)),"")</f>
        <v/>
      </c>
      <c r="ABT13" t="str" cm="1">
        <f t="array" ref="ABT13">IF(ABT$12&lt;&gt;"",_xlfn.UNIQUE(_xlfn._xlws.FILTER(RAW[[#All],[Room Type]],RAW[[#All],[Hotel / Resort Name ]]=Sheet2!ABT$12)),"")</f>
        <v/>
      </c>
      <c r="ABU13" t="str" cm="1">
        <f t="array" ref="ABU13">IF(ABU$12&lt;&gt;"",_xlfn.UNIQUE(_xlfn._xlws.FILTER(RAW[[#All],[Room Type]],RAW[[#All],[Hotel / Resort Name ]]=Sheet2!ABU$12)),"")</f>
        <v/>
      </c>
      <c r="ABV13" t="str" cm="1">
        <f t="array" ref="ABV13">IF(ABV$12&lt;&gt;"",_xlfn.UNIQUE(_xlfn._xlws.FILTER(RAW[[#All],[Room Type]],RAW[[#All],[Hotel / Resort Name ]]=Sheet2!ABV$12)),"")</f>
        <v/>
      </c>
      <c r="ABW13" t="str" cm="1">
        <f t="array" ref="ABW13">IF(ABW$12&lt;&gt;"",_xlfn.UNIQUE(_xlfn._xlws.FILTER(RAW[[#All],[Room Type]],RAW[[#All],[Hotel / Resort Name ]]=Sheet2!ABW$12)),"")</f>
        <v/>
      </c>
      <c r="ABX13" t="str" cm="1">
        <f t="array" ref="ABX13">IF(ABX$12&lt;&gt;"",_xlfn.UNIQUE(_xlfn._xlws.FILTER(RAW[[#All],[Room Type]],RAW[[#All],[Hotel / Resort Name ]]=Sheet2!ABX$12)),"")</f>
        <v/>
      </c>
      <c r="ABY13" t="str" cm="1">
        <f t="array" ref="ABY13">IF(ABY$12&lt;&gt;"",_xlfn.UNIQUE(_xlfn._xlws.FILTER(RAW[[#All],[Room Type]],RAW[[#All],[Hotel / Resort Name ]]=Sheet2!ABY$12)),"")</f>
        <v/>
      </c>
      <c r="ABZ13" t="str" cm="1">
        <f t="array" ref="ABZ13">IF(ABZ$12&lt;&gt;"",_xlfn.UNIQUE(_xlfn._xlws.FILTER(RAW[[#All],[Room Type]],RAW[[#All],[Hotel / Resort Name ]]=Sheet2!ABZ$12)),"")</f>
        <v/>
      </c>
      <c r="ACA13" t="str" cm="1">
        <f t="array" ref="ACA13">IF(ACA$12&lt;&gt;"",_xlfn.UNIQUE(_xlfn._xlws.FILTER(RAW[[#All],[Room Type]],RAW[[#All],[Hotel / Resort Name ]]=Sheet2!ACA$12)),"")</f>
        <v/>
      </c>
      <c r="ACB13" t="str" cm="1">
        <f t="array" ref="ACB13">IF(ACB$12&lt;&gt;"",_xlfn.UNIQUE(_xlfn._xlws.FILTER(RAW[[#All],[Room Type]],RAW[[#All],[Hotel / Resort Name ]]=Sheet2!ACB$12)),"")</f>
        <v/>
      </c>
      <c r="ACC13" t="str" cm="1">
        <f t="array" ref="ACC13">IF(ACC$12&lt;&gt;"",_xlfn.UNIQUE(_xlfn._xlws.FILTER(RAW[[#All],[Room Type]],RAW[[#All],[Hotel / Resort Name ]]=Sheet2!ACC$12)),"")</f>
        <v/>
      </c>
      <c r="ACD13" t="str" cm="1">
        <f t="array" ref="ACD13">IF(ACD$12&lt;&gt;"",_xlfn.UNIQUE(_xlfn._xlws.FILTER(RAW[[#All],[Room Type]],RAW[[#All],[Hotel / Resort Name ]]=Sheet2!ACD$12)),"")</f>
        <v/>
      </c>
      <c r="ACE13" t="str" cm="1">
        <f t="array" ref="ACE13">IF(ACE$12&lt;&gt;"",_xlfn.UNIQUE(_xlfn._xlws.FILTER(RAW[[#All],[Room Type]],RAW[[#All],[Hotel / Resort Name ]]=Sheet2!ACE$12)),"")</f>
        <v/>
      </c>
      <c r="ACF13" t="str" cm="1">
        <f t="array" ref="ACF13">IF(ACF$12&lt;&gt;"",_xlfn.UNIQUE(_xlfn._xlws.FILTER(RAW[[#All],[Room Type]],RAW[[#All],[Hotel / Resort Name ]]=Sheet2!ACF$12)),"")</f>
        <v/>
      </c>
      <c r="ACG13" t="str" cm="1">
        <f t="array" ref="ACG13">IF(ACG$12&lt;&gt;"",_xlfn.UNIQUE(_xlfn._xlws.FILTER(RAW[[#All],[Room Type]],RAW[[#All],[Hotel / Resort Name ]]=Sheet2!ACG$12)),"")</f>
        <v/>
      </c>
      <c r="ACH13" t="str" cm="1">
        <f t="array" ref="ACH13">IF(ACH$12&lt;&gt;"",_xlfn.UNIQUE(_xlfn._xlws.FILTER(RAW[[#All],[Room Type]],RAW[[#All],[Hotel / Resort Name ]]=Sheet2!ACH$12)),"")</f>
        <v/>
      </c>
      <c r="ACI13" t="str" cm="1">
        <f t="array" ref="ACI13">IF(ACI$12&lt;&gt;"",_xlfn.UNIQUE(_xlfn._xlws.FILTER(RAW[[#All],[Room Type]],RAW[[#All],[Hotel / Resort Name ]]=Sheet2!ACI$12)),"")</f>
        <v/>
      </c>
      <c r="ACJ13" t="str" cm="1">
        <f t="array" ref="ACJ13">IF(ACJ$12&lt;&gt;"",_xlfn.UNIQUE(_xlfn._xlws.FILTER(RAW[[#All],[Room Type]],RAW[[#All],[Hotel / Resort Name ]]=Sheet2!ACJ$12)),"")</f>
        <v/>
      </c>
      <c r="ACK13" t="str" cm="1">
        <f t="array" ref="ACK13">IF(ACK$12&lt;&gt;"",_xlfn.UNIQUE(_xlfn._xlws.FILTER(RAW[[#All],[Room Type]],RAW[[#All],[Hotel / Resort Name ]]=Sheet2!ACK$12)),"")</f>
        <v/>
      </c>
      <c r="ACL13" t="str" cm="1">
        <f t="array" ref="ACL13">IF(ACL$12&lt;&gt;"",_xlfn.UNIQUE(_xlfn._xlws.FILTER(RAW[[#All],[Room Type]],RAW[[#All],[Hotel / Resort Name ]]=Sheet2!ACL$12)),"")</f>
        <v/>
      </c>
      <c r="ACM13" t="str" cm="1">
        <f t="array" ref="ACM13">IF(ACM$12&lt;&gt;"",_xlfn.UNIQUE(_xlfn._xlws.FILTER(RAW[[#All],[Room Type]],RAW[[#All],[Hotel / Resort Name ]]=Sheet2!ACM$12)),"")</f>
        <v/>
      </c>
      <c r="ACN13" t="str" cm="1">
        <f t="array" ref="ACN13">IF(ACN$12&lt;&gt;"",_xlfn.UNIQUE(_xlfn._xlws.FILTER(RAW[[#All],[Room Type]],RAW[[#All],[Hotel / Resort Name ]]=Sheet2!ACN$12)),"")</f>
        <v/>
      </c>
      <c r="ACO13" t="str" cm="1">
        <f t="array" ref="ACO13">IF(ACO$12&lt;&gt;"",_xlfn.UNIQUE(_xlfn._xlws.FILTER(RAW[[#All],[Room Type]],RAW[[#All],[Hotel / Resort Name ]]=Sheet2!ACO$12)),"")</f>
        <v/>
      </c>
      <c r="ACP13" t="str" cm="1">
        <f t="array" ref="ACP13">IF(ACP$12&lt;&gt;"",_xlfn.UNIQUE(_xlfn._xlws.FILTER(RAW[[#All],[Room Type]],RAW[[#All],[Hotel / Resort Name ]]=Sheet2!ACP$12)),"")</f>
        <v/>
      </c>
      <c r="ACQ13" t="str" cm="1">
        <f t="array" ref="ACQ13">IF(ACQ$12&lt;&gt;"",_xlfn.UNIQUE(_xlfn._xlws.FILTER(RAW[[#All],[Room Type]],RAW[[#All],[Hotel / Resort Name ]]=Sheet2!ACQ$12)),"")</f>
        <v/>
      </c>
      <c r="ACR13" t="str" cm="1">
        <f t="array" ref="ACR13">IF(ACR$12&lt;&gt;"",_xlfn.UNIQUE(_xlfn._xlws.FILTER(RAW[[#All],[Room Type]],RAW[[#All],[Hotel / Resort Name ]]=Sheet2!ACR$12)),"")</f>
        <v/>
      </c>
      <c r="ACS13" t="str" cm="1">
        <f t="array" ref="ACS13">IF(ACS$12&lt;&gt;"",_xlfn.UNIQUE(_xlfn._xlws.FILTER(RAW[[#All],[Room Type]],RAW[[#All],[Hotel / Resort Name ]]=Sheet2!ACS$12)),"")</f>
        <v/>
      </c>
      <c r="ACT13" t="str" cm="1">
        <f t="array" ref="ACT13">IF(ACT$12&lt;&gt;"",_xlfn.UNIQUE(_xlfn._xlws.FILTER(RAW[[#All],[Room Type]],RAW[[#All],[Hotel / Resort Name ]]=Sheet2!ACT$12)),"")</f>
        <v/>
      </c>
      <c r="ACU13" t="str" cm="1">
        <f t="array" ref="ACU13">IF(ACU$12&lt;&gt;"",_xlfn.UNIQUE(_xlfn._xlws.FILTER(RAW[[#All],[Room Type]],RAW[[#All],[Hotel / Resort Name ]]=Sheet2!ACU$12)),"")</f>
        <v/>
      </c>
      <c r="ACV13" t="str" cm="1">
        <f t="array" ref="ACV13">IF(ACV$12&lt;&gt;"",_xlfn.UNIQUE(_xlfn._xlws.FILTER(RAW[[#All],[Room Type]],RAW[[#All],[Hotel / Resort Name ]]=Sheet2!ACV$12)),"")</f>
        <v/>
      </c>
      <c r="ACW13" t="str" cm="1">
        <f t="array" ref="ACW13">IF(ACW$12&lt;&gt;"",_xlfn.UNIQUE(_xlfn._xlws.FILTER(RAW[[#All],[Room Type]],RAW[[#All],[Hotel / Resort Name ]]=Sheet2!ACW$12)),"")</f>
        <v/>
      </c>
      <c r="ACX13" t="str" cm="1">
        <f t="array" ref="ACX13">IF(ACX$12&lt;&gt;"",_xlfn.UNIQUE(_xlfn._xlws.FILTER(RAW[[#All],[Room Type]],RAW[[#All],[Hotel / Resort Name ]]=Sheet2!ACX$12)),"")</f>
        <v/>
      </c>
      <c r="ACY13" t="str" cm="1">
        <f t="array" ref="ACY13">IF(ACY$12&lt;&gt;"",_xlfn.UNIQUE(_xlfn._xlws.FILTER(RAW[[#All],[Room Type]],RAW[[#All],[Hotel / Resort Name ]]=Sheet2!ACY$12)),"")</f>
        <v/>
      </c>
      <c r="ACZ13" t="str" cm="1">
        <f t="array" ref="ACZ13">IF(ACZ$12&lt;&gt;"",_xlfn.UNIQUE(_xlfn._xlws.FILTER(RAW[[#All],[Room Type]],RAW[[#All],[Hotel / Resort Name ]]=Sheet2!ACZ$12)),"")</f>
        <v/>
      </c>
      <c r="ADA13" t="str" cm="1">
        <f t="array" ref="ADA13">IF(ADA$12&lt;&gt;"",_xlfn.UNIQUE(_xlfn._xlws.FILTER(RAW[[#All],[Room Type]],RAW[[#All],[Hotel / Resort Name ]]=Sheet2!ADA$12)),"")</f>
        <v/>
      </c>
      <c r="ADB13" t="str" cm="1">
        <f t="array" ref="ADB13">IF(ADB$12&lt;&gt;"",_xlfn.UNIQUE(_xlfn._xlws.FILTER(RAW[[#All],[Room Type]],RAW[[#All],[Hotel / Resort Name ]]=Sheet2!ADB$12)),"")</f>
        <v/>
      </c>
      <c r="ADC13" t="str" cm="1">
        <f t="array" ref="ADC13">IF(ADC$12&lt;&gt;"",_xlfn.UNIQUE(_xlfn._xlws.FILTER(RAW[[#All],[Room Type]],RAW[[#All],[Hotel / Resort Name ]]=Sheet2!ADC$12)),"")</f>
        <v/>
      </c>
      <c r="ADD13" t="str" cm="1">
        <f t="array" ref="ADD13">IF(ADD$12&lt;&gt;"",_xlfn.UNIQUE(_xlfn._xlws.FILTER(RAW[[#All],[Room Type]],RAW[[#All],[Hotel / Resort Name ]]=Sheet2!ADD$12)),"")</f>
        <v/>
      </c>
      <c r="ADE13" t="str" cm="1">
        <f t="array" ref="ADE13">IF(ADE$12&lt;&gt;"",_xlfn.UNIQUE(_xlfn._xlws.FILTER(RAW[[#All],[Room Type]],RAW[[#All],[Hotel / Resort Name ]]=Sheet2!ADE$12)),"")</f>
        <v/>
      </c>
    </row>
    <row r="14" spans="1:785" x14ac:dyDescent="0.25">
      <c r="A14" t="str">
        <f>IF(B13="","",_xlfn.XLOOKUP(B14,'Raw'!C:C,'Raw'!B:B))</f>
        <v xml:space="preserve">Thekkady </v>
      </c>
      <c r="B14" t="str">
        <v>KL2</v>
      </c>
      <c r="C14" t="str">
        <f>IF(B14="","",VLOOKUP(B14,RAW[[Hotel Code]:[Hotel / Resort Name ]],2,0))</f>
        <v>The Elephant Court</v>
      </c>
      <c r="H14" t="str">
        <v>Quadruple Bed Room (04 pax)</v>
      </c>
      <c r="I14" t="str">
        <v>Honeymoon Suite</v>
      </c>
      <c r="J14" t="str">
        <v>Honeymoon Suite</v>
      </c>
      <c r="K14" t="str">
        <v>Honeymoon Suite</v>
      </c>
      <c r="L14" t="str">
        <v>Honeymoon Suite</v>
      </c>
      <c r="M14" t="str">
        <v>Honeymoon Suite</v>
      </c>
      <c r="N14" t="str">
        <v>Honeymoon Suite</v>
      </c>
      <c r="O14" t="str">
        <v>Honeymoon Suite</v>
      </c>
      <c r="P14" t="str">
        <v>Suite Room</v>
      </c>
      <c r="Q14" t="str">
        <v>Suite Room</v>
      </c>
      <c r="R14" t="str">
        <v>Suite Room</v>
      </c>
      <c r="S14" t="str">
        <v>Suite Room</v>
      </c>
      <c r="T14" t="str">
        <v>Suite Room</v>
      </c>
      <c r="U14" t="str">
        <v>Suite Room</v>
      </c>
      <c r="W14" t="str">
        <v>Pool view Room</v>
      </c>
      <c r="X14" t="str">
        <v>Pool view Room</v>
      </c>
      <c r="Y14" t="str">
        <v>Pool view Room</v>
      </c>
      <c r="Z14" t="str">
        <v>Pool view Room</v>
      </c>
      <c r="AA14" t="str">
        <v>Pool view Room</v>
      </c>
      <c r="AB14" t="str">
        <v>Pool view Room</v>
      </c>
      <c r="AC14" t="str">
        <v>Pool view Room</v>
      </c>
      <c r="AD14" t="str">
        <v>Pool view Room</v>
      </c>
      <c r="AE14" t="str">
        <v>Pool view Room</v>
      </c>
      <c r="AF14" t="str">
        <v>Pool view Room</v>
      </c>
      <c r="AG14" t="str">
        <v>Pool view Room</v>
      </c>
      <c r="AH14" t="str">
        <v>Super Deluxe</v>
      </c>
      <c r="AI14" t="str">
        <v>Super Deluxe</v>
      </c>
      <c r="AJ14" t="str">
        <v xml:space="preserve">Lake View Elite Rooms </v>
      </c>
      <c r="AK14" t="str">
        <v xml:space="preserve">Lake View Elite Rooms </v>
      </c>
      <c r="AL14" t="str">
        <v xml:space="preserve">Lake View Elite Rooms </v>
      </c>
      <c r="AM14" t="str">
        <v xml:space="preserve">Lake View Elite Rooms </v>
      </c>
      <c r="AN14" t="str">
        <v xml:space="preserve">Lake View Elite Rooms </v>
      </c>
      <c r="AO14" t="str">
        <v xml:space="preserve">Lake View Elite Rooms </v>
      </c>
      <c r="AP14" t="str">
        <v xml:space="preserve">Lake View Elite Rooms </v>
      </c>
      <c r="AQ14" t="str">
        <v xml:space="preserve">Lake View Elite Rooms </v>
      </c>
      <c r="AR14" t="str">
        <v xml:space="preserve">Lake View Elite Rooms </v>
      </c>
      <c r="AS14" t="str">
        <v xml:space="preserve">Ixora </v>
      </c>
      <c r="AT14" t="str">
        <v xml:space="preserve">Ixora </v>
      </c>
      <c r="AU14" t="str">
        <v xml:space="preserve">Ixora </v>
      </c>
      <c r="AV14" t="str">
        <v xml:space="preserve">Ixora </v>
      </c>
      <c r="AW14" t="str">
        <v xml:space="preserve">Ixora </v>
      </c>
      <c r="AX14" t="str">
        <v xml:space="preserve">Ixora </v>
      </c>
      <c r="AY14" t="str">
        <v xml:space="preserve">Ixora </v>
      </c>
      <c r="AZ14" t="str">
        <v xml:space="preserve">Ixora </v>
      </c>
      <c r="BA14" t="str">
        <v>Deluxe Room</v>
      </c>
      <c r="BB14" t="str">
        <v>Deluxe Room</v>
      </c>
      <c r="BC14" t="str">
        <v>Deluxe Room</v>
      </c>
      <c r="BD14" t="str">
        <v>Deluxe Room</v>
      </c>
      <c r="BE14" t="str">
        <v>Deluxe Room</v>
      </c>
      <c r="BF14" t="str">
        <v>Deluxe Room</v>
      </c>
      <c r="BG14" t="str">
        <v>Extra Adult passenger</v>
      </c>
      <c r="BH14" t="str">
        <v>Extra Adult passenger</v>
      </c>
      <c r="BI14" t="str">
        <v>Extra Adult passenger</v>
      </c>
      <c r="BJ14" t="str">
        <v>Extra Adult passenger</v>
      </c>
      <c r="BK14" t="str">
        <v>Extra Adult passenger</v>
      </c>
      <c r="BL14" t="str">
        <v>Extra Adult passenger</v>
      </c>
      <c r="BM14" t="str">
        <v>Quadruple Bed Room (04 pax)</v>
      </c>
      <c r="BN14" t="str">
        <v>Quadruple Bed Room (04 pax)</v>
      </c>
      <c r="BO14" t="str">
        <v>Super Deluxe Room</v>
      </c>
      <c r="BP14" t="str">
        <v>Super Deluxe Room</v>
      </c>
      <c r="BQ14" t="str">
        <v>Super Deluxe Room</v>
      </c>
      <c r="BR14" t="str">
        <v>Super Deluxe Room</v>
      </c>
      <c r="BS14" t="str">
        <v>Super Deluxe Room</v>
      </c>
      <c r="BT14" t="str">
        <v>Preimum</v>
      </c>
      <c r="BU14" t="str">
        <v>Preimum</v>
      </c>
      <c r="BV14" t="str">
        <v>Royal Grand</v>
      </c>
      <c r="BW14" t="str">
        <v>Royal Grand</v>
      </c>
      <c r="BX14" t="str">
        <v>Royal Grand</v>
      </c>
      <c r="BY14" t="str">
        <v>Royal Grand</v>
      </c>
      <c r="BZ14" t="str">
        <v>Royal Grand</v>
      </c>
      <c r="CA14" t="str">
        <v>Royal Grand</v>
      </c>
      <c r="CB14" t="str">
        <v>Deluxe Superior</v>
      </c>
      <c r="CC14" t="str">
        <v>Deluxe Superior</v>
      </c>
      <c r="CD14" t="str">
        <v>Deluxe Superior</v>
      </c>
      <c r="CE14" t="str">
        <v>Deluxe Superior</v>
      </c>
      <c r="CF14" t="str">
        <v>Deluxe Superior</v>
      </c>
      <c r="CG14" t="str">
        <v>Deluxe Superior</v>
      </c>
      <c r="CH14" t="str">
        <v>Deluxe Superior</v>
      </c>
      <c r="CI14" t="str">
        <v>Hill Top Deluxe</v>
      </c>
      <c r="CJ14" t="str">
        <v>Hill Top Deluxe</v>
      </c>
      <c r="CK14" t="str">
        <v>Hill Top Deluxe</v>
      </c>
      <c r="CL14" t="str">
        <v>Hill Top Deluxe</v>
      </c>
      <c r="CM14" t="str">
        <v>Hill Top Deluxe</v>
      </c>
      <c r="CN14" t="str">
        <v>Hill Top Deluxe</v>
      </c>
      <c r="CO14" t="str">
        <v>Hill Top Deluxe</v>
      </c>
      <c r="CP14" t="str">
        <v>Hill Top Deluxe</v>
      </c>
      <c r="CQ14" t="str">
        <v>Hill Top Deluxe</v>
      </c>
      <c r="CR14" t="str">
        <v>Extra Adult passenger</v>
      </c>
      <c r="CS14" t="str">
        <v>Jungle View Venus (A/c)</v>
      </c>
      <c r="CT14" t="str">
        <v>Jungle View Venus (A/c)</v>
      </c>
      <c r="CU14" t="str">
        <v>Jungle View Venus (A/c)</v>
      </c>
      <c r="CV14" t="str">
        <v>Jungle View Venus (A/c)</v>
      </c>
      <c r="CW14" t="str">
        <v>Jungle View Venus (A/c)</v>
      </c>
      <c r="CX14" t="str">
        <v>Jungle View Venus (A/c)</v>
      </c>
      <c r="CY14" t="str">
        <v>Jungle View Venus (A/c)</v>
      </c>
      <c r="CZ14" t="str">
        <v>Jungle View Venus (A/c)</v>
      </c>
      <c r="DA14" t="str">
        <v>Extra Adult passenger</v>
      </c>
      <c r="DC14" t="str">
        <v xml:space="preserve">Sea Shore (Partial Sea View over the Pool) </v>
      </c>
      <c r="DD14" t="str">
        <v xml:space="preserve">Sea Shore (Partial Sea View over the Pool) </v>
      </c>
      <c r="DE14" t="str">
        <v xml:space="preserve">Sea Shore (Partial Sea View over the Pool) </v>
      </c>
      <c r="DF14" t="str">
        <v xml:space="preserve">Sea Shore (Partial Sea View over the Pool) </v>
      </c>
      <c r="DG14" t="str">
        <v xml:space="preserve">Sea Shore (Partial Sea View over the Pool) </v>
      </c>
      <c r="DH14" t="str">
        <v xml:space="preserve">Sea Shore (Partial Sea View over the Pool) </v>
      </c>
      <c r="DI14" t="str">
        <v>Pool View</v>
      </c>
      <c r="DJ14" t="str">
        <v>Pool View</v>
      </c>
      <c r="DK14" t="str">
        <v>Pool View</v>
      </c>
      <c r="DL14" t="str">
        <v>Pool View</v>
      </c>
      <c r="DM14" t="str">
        <v>Pool View</v>
      </c>
      <c r="DN14" t="str">
        <v>Pool View</v>
      </c>
      <c r="DO14" t="str">
        <v>Pool View</v>
      </c>
      <c r="DP14" t="str">
        <v>Quadruple Bed Room (04 pax)</v>
      </c>
      <c r="DQ14" t="str">
        <v>Quadruple Bed Room (04 pax)</v>
      </c>
      <c r="DR14" t="str">
        <v>Quadruple Bed Room (04 pax)</v>
      </c>
      <c r="DS14" t="str">
        <v>Majestic Ponmudi Dam View</v>
      </c>
      <c r="DT14" t="str">
        <v>Majestic Ponmudi Dam View</v>
      </c>
      <c r="DU14" t="str">
        <v>Majestic Ponmudi Dam View</v>
      </c>
      <c r="DV14" t="str">
        <v>Majestic Ponmudi Dam View</v>
      </c>
      <c r="DW14" t="str">
        <v>Majestic Ponmudi Dam View</v>
      </c>
      <c r="DX14" t="str">
        <v>Majestic Ponmudi Dam View</v>
      </c>
      <c r="DY14" t="str">
        <v>Majestic Ponmudi Dam View</v>
      </c>
      <c r="DZ14" t="str">
        <v>Deluxe Room</v>
      </c>
      <c r="EA14" t="str">
        <v>Deluxe Room</v>
      </c>
      <c r="EB14" t="str">
        <v>Deluxe Room</v>
      </c>
      <c r="EC14" t="str">
        <v>Deluxe Room</v>
      </c>
      <c r="ED14" t="str">
        <v>Deluxe Room</v>
      </c>
      <c r="EE14" t="str">
        <v>Deluxe Room</v>
      </c>
      <c r="EF14" t="str">
        <v>Deluxe Room</v>
      </c>
      <c r="EG14" t="str">
        <v>Deluxe Room</v>
      </c>
      <c r="EH14" t="str">
        <v>Extra Adult passenger</v>
      </c>
      <c r="EI14" t="str">
        <v>Extra Adult passenger</v>
      </c>
      <c r="EJ14" t="str">
        <v xml:space="preserve">Sea Shore (Partial Sea View over the Pool) </v>
      </c>
      <c r="EK14" t="str">
        <v xml:space="preserve">Sea Shore (Partial Sea View over the Pool) </v>
      </c>
      <c r="EL14" t="str">
        <v xml:space="preserve">Sea Shore (Partial Sea View over the Pool) </v>
      </c>
      <c r="EM14" t="str">
        <v>Extra Adult passenger</v>
      </c>
      <c r="EN14" t="str">
        <v>Extra Adult passenger</v>
      </c>
      <c r="EO14" t="str">
        <v>Lagoona Standard Non-Sea View</v>
      </c>
      <c r="EP14" t="str">
        <v>Lagoona Standard Non-Sea View</v>
      </c>
      <c r="EQ14" t="str">
        <v>Lagoona Standard Non-Sea View</v>
      </c>
      <c r="ER14" t="str">
        <v>Lagoona Standard Non-Sea View</v>
      </c>
      <c r="ES14" t="str">
        <v>Lagoona Standard Non-Sea View</v>
      </c>
      <c r="ET14" t="str">
        <v>Lagoona Standard Non-Sea View</v>
      </c>
      <c r="EU14" t="str">
        <v>Lagoona Standard Non-Sea View</v>
      </c>
      <c r="EV14" t="str">
        <v>Lagoona Standard Non-Sea View</v>
      </c>
      <c r="EW14" t="str">
        <v>Lagoona Standard Non-Sea View</v>
      </c>
      <c r="EX14" t="str">
        <v>Extra Adult passenger</v>
      </c>
      <c r="EY14" t="str">
        <v>Extra Adult passenger</v>
      </c>
      <c r="EZ14" t="str">
        <v>Extra Adult passenger</v>
      </c>
      <c r="FA14" t="str">
        <v xml:space="preserve">Executive Room </v>
      </c>
      <c r="FB14" t="str">
        <v xml:space="preserve">Executive Room </v>
      </c>
      <c r="FC14" t="str">
        <v xml:space="preserve">Executive Room </v>
      </c>
      <c r="FD14" t="str">
        <v xml:space="preserve">Executive Room </v>
      </c>
      <c r="FE14" t="str">
        <v xml:space="preserve">Executive Room </v>
      </c>
      <c r="FF14" t="str">
        <v xml:space="preserve">Executive Room </v>
      </c>
      <c r="FG14" t="str">
        <v xml:space="preserve">Executive Room </v>
      </c>
      <c r="FH14" t="str">
        <v xml:space="preserve">Executive Room </v>
      </c>
      <c r="FI14" t="str">
        <v xml:space="preserve">Executive Room </v>
      </c>
      <c r="FJ14" t="str">
        <v xml:space="preserve">Executive Room </v>
      </c>
      <c r="FK14" t="str">
        <v>Standard Room AC</v>
      </c>
      <c r="FL14" t="str">
        <v>Standard Room AC</v>
      </c>
      <c r="FM14" t="str">
        <v>Standard Room AC</v>
      </c>
      <c r="FN14" t="str">
        <v>Standard Room AC</v>
      </c>
      <c r="FO14" t="str">
        <v>Standard Room AC</v>
      </c>
      <c r="FP14" t="str">
        <v>Standard Room AC</v>
      </c>
      <c r="FQ14" t="str">
        <v>Day Nigt Cruise 12PM-9AM</v>
      </c>
      <c r="FR14" t="str">
        <v>Day Nigt Cruise 12PM-9AM</v>
      </c>
      <c r="FS14" t="str">
        <v>Day Nigt Cruise 12PM-9AM</v>
      </c>
      <c r="FT14" t="str">
        <v>Day Nigt Cruise 12PM-9AM</v>
      </c>
      <c r="FU14" t="str">
        <v>DLX AC DBL</v>
      </c>
      <c r="FV14" t="str">
        <v>DLX AC DBL</v>
      </c>
      <c r="FW14" t="str">
        <v>DLX AC DBL</v>
      </c>
      <c r="FX14" t="str">
        <v>DLX AC DBL</v>
      </c>
      <c r="FY14" t="str">
        <v>DLX AC DBL</v>
      </c>
      <c r="FZ14" t="str">
        <v>Club Deluxe Garden view</v>
      </c>
      <c r="GA14" t="str">
        <v>Club Deluxe Garden view</v>
      </c>
      <c r="GB14" t="str">
        <v>Club Deluxe Garden view</v>
      </c>
      <c r="GC14" t="str">
        <v>Club Deluxe Garden view</v>
      </c>
      <c r="GD14" t="str">
        <v>Club Deluxe Garden view</v>
      </c>
      <c r="GE14" t="str">
        <v>Club Deluxe Garden view</v>
      </c>
      <c r="GF14" t="str">
        <v>Club Deluxe Garden view</v>
      </c>
      <c r="GG14" t="str">
        <v>Club Deluxe Garden view</v>
      </c>
      <c r="GH14" t="str">
        <v>Club Deluxe Garden view</v>
      </c>
      <c r="GI14" t="str">
        <v>Jacuzzi Suite Villa</v>
      </c>
      <c r="GJ14" t="str">
        <v>Jacuzzi Suite Villa</v>
      </c>
      <c r="GK14" t="str">
        <v>Jacuzzi Suite Villa</v>
      </c>
      <c r="GL14" t="str">
        <v>Jacuzzi Suite Villa</v>
      </c>
      <c r="GM14" t="str">
        <v>Jacuzzi Suite Villa</v>
      </c>
    </row>
    <row r="15" spans="1:785" x14ac:dyDescent="0.25">
      <c r="A15" t="str">
        <f>IF(B14="","",_xlfn.XLOOKUP(B15,'Raw'!C:C,'Raw'!B:B))</f>
        <v xml:space="preserve">Thekkady </v>
      </c>
      <c r="B15" t="str">
        <v>KL3</v>
      </c>
      <c r="C15" t="str">
        <f>IF(B15="","",VLOOKUP(B15,RAW[[Hotel Code]:[Hotel / Resort Name ]],2,0))</f>
        <v>The Elephant Court</v>
      </c>
      <c r="H15" t="str">
        <v>Extra Adult passenger</v>
      </c>
      <c r="I15" t="str">
        <v>Garden Suite</v>
      </c>
      <c r="J15" t="str">
        <v>Garden Suite</v>
      </c>
      <c r="K15" t="str">
        <v>Garden Suite</v>
      </c>
      <c r="L15" t="str">
        <v>Garden Suite</v>
      </c>
      <c r="M15" t="str">
        <v>Garden Suite</v>
      </c>
      <c r="N15" t="str">
        <v>Garden Suite</v>
      </c>
      <c r="O15" t="str">
        <v>Garden Suite</v>
      </c>
      <c r="P15" t="str">
        <v>Extra Adult passenger</v>
      </c>
      <c r="Q15" t="str">
        <v>Extra Adult passenger</v>
      </c>
      <c r="R15" t="str">
        <v>Extra Adult passenger</v>
      </c>
      <c r="S15" t="str">
        <v>Extra Adult passenger</v>
      </c>
      <c r="T15" t="str">
        <v>Extra Adult passenger</v>
      </c>
      <c r="U15" t="str">
        <v>Extra Adult passenger</v>
      </c>
      <c r="W15" t="str">
        <v xml:space="preserve">Coastal view room </v>
      </c>
      <c r="X15" t="str">
        <v xml:space="preserve">Coastal view room </v>
      </c>
      <c r="Y15" t="str">
        <v xml:space="preserve">Coastal view room </v>
      </c>
      <c r="Z15" t="str">
        <v xml:space="preserve">Coastal view room </v>
      </c>
      <c r="AA15" t="str">
        <v xml:space="preserve">Coastal view room </v>
      </c>
      <c r="AB15" t="str">
        <v xml:space="preserve">Coastal view room </v>
      </c>
      <c r="AC15" t="str">
        <v xml:space="preserve">Coastal view room </v>
      </c>
      <c r="AD15" t="str">
        <v xml:space="preserve">Coastal view room </v>
      </c>
      <c r="AE15" t="str">
        <v xml:space="preserve">Coastal view room </v>
      </c>
      <c r="AF15" t="str">
        <v xml:space="preserve">Coastal view room </v>
      </c>
      <c r="AG15" t="str">
        <v xml:space="preserve">Coastal view room </v>
      </c>
      <c r="AJ15" t="str">
        <v xml:space="preserve">Lakeview Premium Room </v>
      </c>
      <c r="AK15" t="str">
        <v xml:space="preserve">Lakeview Premium Room </v>
      </c>
      <c r="AL15" t="str">
        <v xml:space="preserve">Lakeview Premium Room </v>
      </c>
      <c r="AM15" t="str">
        <v xml:space="preserve">Lakeview Premium Room </v>
      </c>
      <c r="AN15" t="str">
        <v xml:space="preserve">Lakeview Premium Room </v>
      </c>
      <c r="AO15" t="str">
        <v xml:space="preserve">Lakeview Premium Room </v>
      </c>
      <c r="AP15" t="str">
        <v xml:space="preserve">Lakeview Premium Room </v>
      </c>
      <c r="AQ15" t="str">
        <v xml:space="preserve">Lakeview Premium Room </v>
      </c>
      <c r="AR15" t="str">
        <v xml:space="preserve">Lakeview Premium Room </v>
      </c>
      <c r="AS15" t="str">
        <v xml:space="preserve">Exotica </v>
      </c>
      <c r="AT15" t="str">
        <v xml:space="preserve">Exotica </v>
      </c>
      <c r="AU15" t="str">
        <v xml:space="preserve">Exotica </v>
      </c>
      <c r="AV15" t="str">
        <v xml:space="preserve">Exotica </v>
      </c>
      <c r="AW15" t="str">
        <v xml:space="preserve">Exotica </v>
      </c>
      <c r="AX15" t="str">
        <v xml:space="preserve">Exotica </v>
      </c>
      <c r="AY15" t="str">
        <v xml:space="preserve">Exotica </v>
      </c>
      <c r="AZ15" t="str">
        <v xml:space="preserve">Exotica </v>
      </c>
      <c r="BA15" t="str">
        <v>Club Room</v>
      </c>
      <c r="BB15" t="str">
        <v>Club Room</v>
      </c>
      <c r="BC15" t="str">
        <v>Club Room</v>
      </c>
      <c r="BD15" t="str">
        <v>Club Room</v>
      </c>
      <c r="BE15" t="str">
        <v>Club Room</v>
      </c>
      <c r="BF15" t="str">
        <v>Club Room</v>
      </c>
      <c r="BG15" t="str">
        <v>Valley View Room (With Balcony)</v>
      </c>
      <c r="BH15" t="str">
        <v>Valley View Room (With Balcony)</v>
      </c>
      <c r="BI15" t="str">
        <v>Superior Rooms [With Balcony]</v>
      </c>
      <c r="BJ15" t="str">
        <v>Superior Rooms [With Balcony]</v>
      </c>
      <c r="BK15" t="str">
        <v>Premium Valley View Cottage (With Balcony)</v>
      </c>
      <c r="BL15" t="str">
        <v>Premium Valley View Cottage (With Balcony)</v>
      </c>
      <c r="BM15" t="str">
        <v>Extra Adult passenger</v>
      </c>
      <c r="BN15" t="str">
        <v>Extra Adult passenger</v>
      </c>
      <c r="BO15" t="str">
        <v>Suite Rooms</v>
      </c>
      <c r="BP15" t="str">
        <v>Suite Rooms</v>
      </c>
      <c r="BQ15" t="str">
        <v>Suite Rooms</v>
      </c>
      <c r="BR15" t="str">
        <v>Suite Rooms</v>
      </c>
      <c r="BS15" t="str">
        <v>Suite Rooms</v>
      </c>
      <c r="BV15" t="str">
        <v>Royal Suite</v>
      </c>
      <c r="BW15" t="str">
        <v>Royal Suite</v>
      </c>
      <c r="BX15" t="str">
        <v>Royal Suite</v>
      </c>
      <c r="BY15" t="str">
        <v>Royal Suite</v>
      </c>
      <c r="BZ15" t="str">
        <v>Royal Suite</v>
      </c>
      <c r="CA15" t="str">
        <v>Royal Suite</v>
      </c>
      <c r="CB15" t="str">
        <v>Pagoda Cottage</v>
      </c>
      <c r="CC15" t="str">
        <v>Pagoda Cottage</v>
      </c>
      <c r="CD15" t="str">
        <v>Pagoda Cottage</v>
      </c>
      <c r="CE15" t="str">
        <v>Pagoda Cottage</v>
      </c>
      <c r="CF15" t="str">
        <v>Pagoda Cottage</v>
      </c>
      <c r="CG15" t="str">
        <v>Pagoda Cottage</v>
      </c>
      <c r="CH15" t="str">
        <v>Pagoda Cottage</v>
      </c>
      <c r="CI15" t="str">
        <v>Hill Top Premium</v>
      </c>
      <c r="CJ15" t="str">
        <v>Hill Top Premium</v>
      </c>
      <c r="CK15" t="str">
        <v>Hill Top Premium</v>
      </c>
      <c r="CL15" t="str">
        <v>Hill Top Premium</v>
      </c>
      <c r="CM15" t="str">
        <v>Hill Top Premium</v>
      </c>
      <c r="CN15" t="str">
        <v>Hill Top Premium</v>
      </c>
      <c r="CO15" t="str">
        <v>Hill Top Premium</v>
      </c>
      <c r="CP15" t="str">
        <v>Hill Top Premium</v>
      </c>
      <c r="CQ15" t="str">
        <v>Hill Top Premium</v>
      </c>
      <c r="CR15" t="str">
        <v>Valley View Room (With Balcony)</v>
      </c>
      <c r="CS15" t="str">
        <v>DeluxeFamilyRoom-03Pax (Non A/c)</v>
      </c>
      <c r="CT15" t="str">
        <v>DeluxeFamilyRoom-03Pax (Non A/c)</v>
      </c>
      <c r="CU15" t="str">
        <v>DeluxeFamilyRoom-03Pax (Non A/c)</v>
      </c>
      <c r="CV15" t="str">
        <v>DeluxeFamilyRoom-03Pax (Non A/c)</v>
      </c>
      <c r="CW15" t="str">
        <v>DeluxeFamilyRoom-03Pax (Non A/c)</v>
      </c>
      <c r="CX15" t="str">
        <v>DeluxeFamilyRoom-03Pax (Non A/c)</v>
      </c>
      <c r="CY15" t="str">
        <v>DeluxeFamilyRoom-03Pax (Non A/c)</v>
      </c>
      <c r="CZ15" t="str">
        <v>DeluxeFamilyRoom-03Pax (Non A/c)</v>
      </c>
      <c r="DA15" t="str">
        <v>Premium Valley View Cottage (With Balcony)</v>
      </c>
      <c r="DC15" t="str">
        <v xml:space="preserve">Bay Watch (Sunset Sea View) </v>
      </c>
      <c r="DD15" t="str">
        <v xml:space="preserve">Bay Watch (Sunset Sea View) </v>
      </c>
      <c r="DE15" t="str">
        <v xml:space="preserve">Bay Watch (Sunset Sea View) </v>
      </c>
      <c r="DF15" t="str">
        <v xml:space="preserve">Bay Watch (Sunset Sea View) </v>
      </c>
      <c r="DG15" t="str">
        <v xml:space="preserve">Bay Watch (Sunset Sea View) </v>
      </c>
      <c r="DH15" t="str">
        <v xml:space="preserve">Bay Watch (Sunset Sea View) </v>
      </c>
      <c r="DI15" t="str">
        <v>Ocean View</v>
      </c>
      <c r="DJ15" t="str">
        <v>Ocean View</v>
      </c>
      <c r="DK15" t="str">
        <v>Ocean View</v>
      </c>
      <c r="DL15" t="str">
        <v>Ocean View</v>
      </c>
      <c r="DM15" t="str">
        <v>Ocean View</v>
      </c>
      <c r="DN15" t="str">
        <v>Ocean View</v>
      </c>
      <c r="DO15" t="str">
        <v>Ocean View</v>
      </c>
      <c r="DP15" t="str">
        <v>Extra Adult passenger</v>
      </c>
      <c r="DQ15" t="str">
        <v>Extra Adult passenger</v>
      </c>
      <c r="DR15" t="str">
        <v>Extra Adult passenger</v>
      </c>
      <c r="DS15" t="str">
        <v>Timeless Jacuzzi Suite</v>
      </c>
      <c r="DT15" t="str">
        <v>Timeless Jacuzzi Suite</v>
      </c>
      <c r="DU15" t="str">
        <v>Timeless Jacuzzi Suite</v>
      </c>
      <c r="DV15" t="str">
        <v>Timeless Jacuzzi Suite</v>
      </c>
      <c r="DW15" t="str">
        <v>Timeless Jacuzzi Suite</v>
      </c>
      <c r="DX15" t="str">
        <v>Timeless Jacuzzi Suite</v>
      </c>
      <c r="DY15" t="str">
        <v>Timeless Jacuzzi Suite</v>
      </c>
      <c r="DZ15" t="str">
        <v>Executive Room</v>
      </c>
      <c r="EA15" t="str">
        <v>Executive Room</v>
      </c>
      <c r="EB15" t="str">
        <v>Executive Room</v>
      </c>
      <c r="EC15" t="str">
        <v>Executive Room</v>
      </c>
      <c r="ED15" t="str">
        <v>Executive Room</v>
      </c>
      <c r="EE15" t="str">
        <v>Executive Room</v>
      </c>
      <c r="EF15" t="str">
        <v>Executive Room</v>
      </c>
      <c r="EG15" t="str">
        <v>Executive Room</v>
      </c>
      <c r="EH15" t="str">
        <v>Valley View Room (With Balcony)</v>
      </c>
      <c r="EI15" t="str">
        <v>Valley View Room (With Balcony)</v>
      </c>
      <c r="EJ15" t="str">
        <v xml:space="preserve">Bay Watch (Sunset Sea View) </v>
      </c>
      <c r="EK15" t="str">
        <v xml:space="preserve">Bay Watch (Sunset Sea View) </v>
      </c>
      <c r="EL15" t="str">
        <v xml:space="preserve">Bay Watch (Sunset Sea View) </v>
      </c>
      <c r="EM15" t="str">
        <v>Premium Valley View Cottage (With Balcony)</v>
      </c>
      <c r="EN15" t="str">
        <v>Premium Valley View Cottage (With Balcony)</v>
      </c>
      <c r="EO15" t="str">
        <v>Premium Sea View Rooms with Balcony</v>
      </c>
      <c r="EP15" t="str">
        <v>Premium Sea View Rooms with Balcony</v>
      </c>
      <c r="EQ15" t="str">
        <v>Premium Sea View Rooms with Balcony</v>
      </c>
      <c r="ER15" t="str">
        <v>Premium Sea View Rooms with Balcony</v>
      </c>
      <c r="ES15" t="str">
        <v>Premium Sea View Rooms with Balcony</v>
      </c>
      <c r="ET15" t="str">
        <v>Premium Sea View Rooms with Balcony</v>
      </c>
      <c r="EU15" t="str">
        <v>Premium Sea View Rooms with Balcony</v>
      </c>
      <c r="EV15" t="str">
        <v>Premium Sea View Rooms with Balcony</v>
      </c>
      <c r="EW15" t="str">
        <v>Premium Sea View Rooms with Balcony</v>
      </c>
      <c r="EX15" t="str">
        <v>Superior Rooms [With Balcony]</v>
      </c>
      <c r="EY15" t="str">
        <v>Superior Rooms [With Balcony]</v>
      </c>
      <c r="EZ15" t="str">
        <v>Superior Rooms [With Balcony]</v>
      </c>
      <c r="FA15" t="str">
        <v xml:space="preserve">Premium Room </v>
      </c>
      <c r="FB15" t="str">
        <v xml:space="preserve">Premium Room </v>
      </c>
      <c r="FC15" t="str">
        <v xml:space="preserve">Premium Room </v>
      </c>
      <c r="FD15" t="str">
        <v xml:space="preserve">Premium Room </v>
      </c>
      <c r="FE15" t="str">
        <v xml:space="preserve">Premium Room </v>
      </c>
      <c r="FF15" t="str">
        <v xml:space="preserve">Premium Room </v>
      </c>
      <c r="FG15" t="str">
        <v xml:space="preserve">Premium Room </v>
      </c>
      <c r="FH15" t="str">
        <v xml:space="preserve">Premium Room </v>
      </c>
      <c r="FI15" t="str">
        <v xml:space="preserve">Premium Room </v>
      </c>
      <c r="FJ15" t="str">
        <v xml:space="preserve">Premium Room </v>
      </c>
      <c r="FK15" t="str">
        <v>Standard Twin Bed Room AC</v>
      </c>
      <c r="FL15" t="str">
        <v>Standard Twin Bed Room AC</v>
      </c>
      <c r="FM15" t="str">
        <v>Standard Twin Bed Room AC</v>
      </c>
      <c r="FN15" t="str">
        <v>Standard Twin Bed Room AC</v>
      </c>
      <c r="FO15" t="str">
        <v>Standard Twin Bed Room AC</v>
      </c>
      <c r="FP15" t="str">
        <v>Standard Twin Bed Room AC</v>
      </c>
      <c r="FU15" t="str">
        <v>Extra Adult passenger</v>
      </c>
      <c r="FV15" t="str">
        <v>Extra Adult passenger</v>
      </c>
      <c r="FW15" t="str">
        <v>Extra Adult passenger</v>
      </c>
      <c r="FX15" t="str">
        <v>Extra Adult passenger</v>
      </c>
      <c r="FY15" t="str">
        <v>Extra Adult passenger</v>
      </c>
      <c r="FZ15" t="str">
        <v>Super Deluxe AC</v>
      </c>
      <c r="GA15" t="str">
        <v>Super Deluxe AC</v>
      </c>
      <c r="GB15" t="str">
        <v>Super Deluxe AC</v>
      </c>
      <c r="GC15" t="str">
        <v>Super Deluxe AC</v>
      </c>
      <c r="GD15" t="str">
        <v>Super Deluxe AC</v>
      </c>
      <c r="GE15" t="str">
        <v>Super Deluxe AC</v>
      </c>
      <c r="GF15" t="str">
        <v>Super Deluxe AC</v>
      </c>
      <c r="GG15" t="str">
        <v>Super Deluxe AC</v>
      </c>
      <c r="GH15" t="str">
        <v>Super Deluxe AC</v>
      </c>
      <c r="GI15" t="str">
        <v>Extra Adult passenger</v>
      </c>
      <c r="GJ15" t="str">
        <v>Extra Adult passenger</v>
      </c>
      <c r="GK15" t="str">
        <v>Extra Adult passenger</v>
      </c>
      <c r="GL15" t="str">
        <v>Extra Adult passenger</v>
      </c>
      <c r="GM15" t="str">
        <v>Extra Adult passenger</v>
      </c>
    </row>
    <row r="16" spans="1:785" x14ac:dyDescent="0.25">
      <c r="A16" t="str">
        <f>IF(B15="","",_xlfn.XLOOKUP(B16,'Raw'!C:C,'Raw'!B:B))</f>
        <v xml:space="preserve">Thekkady </v>
      </c>
      <c r="B16" t="str">
        <v>KL4</v>
      </c>
      <c r="C16" t="str">
        <f>IF(B16="","",VLOOKUP(B16,RAW[[Hotel Code]:[Hotel / Resort Name ]],2,0))</f>
        <v>The Elephant Court</v>
      </c>
      <c r="H16" t="str">
        <v>Triple Bed Room (03 pax)</v>
      </c>
      <c r="I16" t="str">
        <v>Pool Studio</v>
      </c>
      <c r="J16" t="str">
        <v>Pool Studio</v>
      </c>
      <c r="K16" t="str">
        <v>Pool Studio</v>
      </c>
      <c r="L16" t="str">
        <v>Pool Studio</v>
      </c>
      <c r="M16" t="str">
        <v>Pool Studio</v>
      </c>
      <c r="N16" t="str">
        <v>Pool Studio</v>
      </c>
      <c r="O16" t="str">
        <v>Pool Studio</v>
      </c>
      <c r="P16" t="str">
        <v xml:space="preserve">Child with bed </v>
      </c>
      <c r="Q16" t="str">
        <v xml:space="preserve">Child with bed </v>
      </c>
      <c r="R16" t="str">
        <v xml:space="preserve">Child with bed </v>
      </c>
      <c r="S16" t="str">
        <v xml:space="preserve">Child with bed </v>
      </c>
      <c r="T16" t="str">
        <v xml:space="preserve">Child with bed </v>
      </c>
      <c r="U16" t="str">
        <v xml:space="preserve">Child with bed </v>
      </c>
      <c r="W16" t="str">
        <v>Premium Sea view Room</v>
      </c>
      <c r="X16" t="str">
        <v>Premium Sea view Room</v>
      </c>
      <c r="Y16" t="str">
        <v>Premium Sea view Room</v>
      </c>
      <c r="Z16" t="str">
        <v>Premium Sea view Room</v>
      </c>
      <c r="AA16" t="str">
        <v>Premium Sea view Room</v>
      </c>
      <c r="AB16" t="str">
        <v>Premium Sea view Room</v>
      </c>
      <c r="AC16" t="str">
        <v>Premium Sea view Room</v>
      </c>
      <c r="AD16" t="str">
        <v>Premium Sea view Room</v>
      </c>
      <c r="AE16" t="str">
        <v>Premium Sea view Room</v>
      </c>
      <c r="AF16" t="str">
        <v>Premium Sea view Room</v>
      </c>
      <c r="AG16" t="str">
        <v>Premium Sea view Room</v>
      </c>
      <c r="AJ16" t="str">
        <v xml:space="preserve">Lakeview Suite Room </v>
      </c>
      <c r="AK16" t="str">
        <v xml:space="preserve">Lakeview Suite Room </v>
      </c>
      <c r="AL16" t="str">
        <v xml:space="preserve">Lakeview Suite Room </v>
      </c>
      <c r="AM16" t="str">
        <v xml:space="preserve">Lakeview Suite Room </v>
      </c>
      <c r="AN16" t="str">
        <v xml:space="preserve">Lakeview Suite Room </v>
      </c>
      <c r="AO16" t="str">
        <v xml:space="preserve">Lakeview Suite Room </v>
      </c>
      <c r="AP16" t="str">
        <v xml:space="preserve">Lakeview Suite Room </v>
      </c>
      <c r="AQ16" t="str">
        <v xml:space="preserve">Lakeview Suite Room </v>
      </c>
      <c r="AR16" t="str">
        <v xml:space="preserve">Lakeview Suite Room </v>
      </c>
      <c r="AS16" t="str">
        <v xml:space="preserve">Raja Ravi Varma Suite </v>
      </c>
      <c r="AT16" t="str">
        <v xml:space="preserve">Raja Ravi Varma Suite </v>
      </c>
      <c r="AU16" t="str">
        <v xml:space="preserve">Raja Ravi Varma Suite </v>
      </c>
      <c r="AV16" t="str">
        <v xml:space="preserve">Raja Ravi Varma Suite </v>
      </c>
      <c r="AW16" t="str">
        <v xml:space="preserve">Raja Ravi Varma Suite </v>
      </c>
      <c r="AX16" t="str">
        <v xml:space="preserve">Raja Ravi Varma Suite </v>
      </c>
      <c r="AY16" t="str">
        <v xml:space="preserve">Raja Ravi Varma Suite </v>
      </c>
      <c r="AZ16" t="str">
        <v xml:space="preserve">Raja Ravi Varma Suite </v>
      </c>
      <c r="BA16" t="str">
        <v>Extra Adult passenger</v>
      </c>
      <c r="BB16" t="str">
        <v>Extra Adult passenger</v>
      </c>
      <c r="BC16" t="str">
        <v>Extra Adult passenger</v>
      </c>
      <c r="BD16" t="str">
        <v>Extra Adult passenger</v>
      </c>
      <c r="BE16" t="str">
        <v>Extra Adult passenger</v>
      </c>
      <c r="BF16" t="str">
        <v>Extra Adult passenger</v>
      </c>
      <c r="BG16" t="str">
        <v xml:space="preserve">Child with bed </v>
      </c>
      <c r="BH16" t="str">
        <v xml:space="preserve">Child with bed </v>
      </c>
      <c r="BI16" t="str">
        <v xml:space="preserve">Child with bed </v>
      </c>
      <c r="BJ16" t="str">
        <v xml:space="preserve">Child with bed </v>
      </c>
      <c r="BK16" t="str">
        <v xml:space="preserve">Child with bed </v>
      </c>
      <c r="BL16" t="str">
        <v xml:space="preserve">Child with bed </v>
      </c>
      <c r="BM16" t="str">
        <v>Triple Bed Room (03 pax)</v>
      </c>
      <c r="BN16" t="str">
        <v>Triple Bed Room (03 pax)</v>
      </c>
      <c r="BO16" t="str">
        <v>Tree House</v>
      </c>
      <c r="BP16" t="str">
        <v>Tree House</v>
      </c>
      <c r="BQ16" t="str">
        <v>Tree House</v>
      </c>
      <c r="BR16" t="str">
        <v>Tree House</v>
      </c>
      <c r="BS16" t="str">
        <v>Tree House</v>
      </c>
      <c r="BV16" t="str">
        <v>Extra Adult passenger</v>
      </c>
      <c r="BW16" t="str">
        <v>Extra Adult passenger</v>
      </c>
      <c r="BX16" t="str">
        <v>Extra Adult passenger</v>
      </c>
      <c r="BY16" t="str">
        <v>Extra Adult passenger</v>
      </c>
      <c r="BZ16" t="str">
        <v>Extra Adult passenger</v>
      </c>
      <c r="CA16" t="str">
        <v>Extra Adult passenger</v>
      </c>
      <c r="CB16" t="str">
        <v>Suite</v>
      </c>
      <c r="CC16" t="str">
        <v>Suite</v>
      </c>
      <c r="CD16" t="str">
        <v>Suite</v>
      </c>
      <c r="CE16" t="str">
        <v>Suite</v>
      </c>
      <c r="CF16" t="str">
        <v>Suite</v>
      </c>
      <c r="CG16" t="str">
        <v>Suite</v>
      </c>
      <c r="CH16" t="str">
        <v>Suite</v>
      </c>
      <c r="CI16" t="str">
        <v>Valley View Family Room (4 PAX)</v>
      </c>
      <c r="CJ16" t="str">
        <v>Valley View Family Room (4 PAX)</v>
      </c>
      <c r="CK16" t="str">
        <v>Valley View Family Room (4 PAX)</v>
      </c>
      <c r="CL16" t="str">
        <v>Valley View Family Room (4 PAX)</v>
      </c>
      <c r="CM16" t="str">
        <v>Valley View Family Room (4 PAX)</v>
      </c>
      <c r="CN16" t="str">
        <v>Valley View Family Room (4 PAX)</v>
      </c>
      <c r="CO16" t="str">
        <v>Valley View Family Room (4 PAX)</v>
      </c>
      <c r="CP16" t="str">
        <v>Valley View Family Room (4 PAX)</v>
      </c>
      <c r="CQ16" t="str">
        <v>Valley View Family Room (4 PAX)</v>
      </c>
      <c r="CR16" t="str">
        <v xml:space="preserve">Child with bed </v>
      </c>
      <c r="CS16" t="str">
        <v>Jungle View Family- 4Pax (Non A/c)</v>
      </c>
      <c r="CT16" t="str">
        <v>Jungle View Family- 4Pax (Non A/c)</v>
      </c>
      <c r="CU16" t="str">
        <v>Jungle View Family- 4Pax (Non A/c)</v>
      </c>
      <c r="CV16" t="str">
        <v>Jungle View Family- 4Pax (Non A/c)</v>
      </c>
      <c r="CW16" t="str">
        <v>Jungle View Family- 4Pax (Non A/c)</v>
      </c>
      <c r="CX16" t="str">
        <v>Jungle View Family- 4Pax (Non A/c)</v>
      </c>
      <c r="CY16" t="str">
        <v>Jungle View Family- 4Pax (Non A/c)</v>
      </c>
      <c r="CZ16" t="str">
        <v>Jungle View Family- 4Pax (Non A/c)</v>
      </c>
      <c r="DA16" t="str">
        <v xml:space="preserve">Child with bed </v>
      </c>
      <c r="DC16" t="str">
        <v xml:space="preserve">Exotic Sea View (Best Sea View) </v>
      </c>
      <c r="DD16" t="str">
        <v xml:space="preserve">Exotic Sea View (Best Sea View) </v>
      </c>
      <c r="DE16" t="str">
        <v xml:space="preserve">Exotic Sea View (Best Sea View) </v>
      </c>
      <c r="DF16" t="str">
        <v xml:space="preserve">Exotic Sea View (Best Sea View) </v>
      </c>
      <c r="DG16" t="str">
        <v xml:space="preserve">Exotic Sea View (Best Sea View) </v>
      </c>
      <c r="DH16" t="str">
        <v xml:space="preserve">Exotic Sea View (Best Sea View) </v>
      </c>
      <c r="DI16" t="str">
        <v>Heritage</v>
      </c>
      <c r="DJ16" t="str">
        <v>Heritage</v>
      </c>
      <c r="DK16" t="str">
        <v>Heritage</v>
      </c>
      <c r="DL16" t="str">
        <v>Heritage</v>
      </c>
      <c r="DM16" t="str">
        <v>Heritage</v>
      </c>
      <c r="DN16" t="str">
        <v>Heritage</v>
      </c>
      <c r="DO16" t="str">
        <v>Heritage</v>
      </c>
      <c r="DP16" t="str">
        <v>Triple Bed Room (03 pax)</v>
      </c>
      <c r="DQ16" t="str">
        <v>Triple Bed Room (03 pax)</v>
      </c>
      <c r="DR16" t="str">
        <v>Triple Bed Room (03 pax)</v>
      </c>
      <c r="DS16" t="str">
        <v>Fabulous Interconnecting Suite (04 Pax)</v>
      </c>
      <c r="DT16" t="str">
        <v>Fabulous Interconnecting Suite (04 Pax)</v>
      </c>
      <c r="DU16" t="str">
        <v>Fabulous Interconnecting Suite (04 Pax)</v>
      </c>
      <c r="DV16" t="str">
        <v>Fabulous Interconnecting Suite (04 Pax)</v>
      </c>
      <c r="DW16" t="str">
        <v>Fabulous Interconnecting Suite (04 Pax)</v>
      </c>
      <c r="DX16" t="str">
        <v>Fabulous Interconnecting Suite (04 Pax)</v>
      </c>
      <c r="DY16" t="str">
        <v>Fabulous Interconnecting Suite (04 Pax)</v>
      </c>
      <c r="DZ16" t="str">
        <v>Deluxe Suite</v>
      </c>
      <c r="EA16" t="str">
        <v>Deluxe Suite</v>
      </c>
      <c r="EB16" t="str">
        <v>Deluxe Suite</v>
      </c>
      <c r="EC16" t="str">
        <v>Deluxe Suite</v>
      </c>
      <c r="ED16" t="str">
        <v>Deluxe Suite</v>
      </c>
      <c r="EE16" t="str">
        <v>Deluxe Suite</v>
      </c>
      <c r="EF16" t="str">
        <v>Deluxe Suite</v>
      </c>
      <c r="EG16" t="str">
        <v>Deluxe Suite</v>
      </c>
      <c r="EH16" t="str">
        <v xml:space="preserve">Child with bed </v>
      </c>
      <c r="EI16" t="str">
        <v xml:space="preserve">Child with bed </v>
      </c>
      <c r="EJ16" t="str">
        <v xml:space="preserve">Exotic Sea View (Best Sea View) </v>
      </c>
      <c r="EK16" t="str">
        <v xml:space="preserve">Exotic Sea View (Best Sea View) </v>
      </c>
      <c r="EL16" t="str">
        <v xml:space="preserve">Exotic Sea View (Best Sea View) </v>
      </c>
      <c r="EM16" t="str">
        <v xml:space="preserve">Child with bed </v>
      </c>
      <c r="EN16" t="str">
        <v xml:space="preserve">Child with bed </v>
      </c>
      <c r="EO16" t="str">
        <v>Premium Twin Room (Non Sea View)</v>
      </c>
      <c r="EP16" t="str">
        <v>Premium Twin Room (Non Sea View)</v>
      </c>
      <c r="EQ16" t="str">
        <v>Premium Twin Room (Non Sea View)</v>
      </c>
      <c r="ER16" t="str">
        <v>Premium Twin Room (Non Sea View)</v>
      </c>
      <c r="ES16" t="str">
        <v>Premium Twin Room (Non Sea View)</v>
      </c>
      <c r="ET16" t="str">
        <v>Premium Twin Room (Non Sea View)</v>
      </c>
      <c r="EU16" t="str">
        <v>Premium Twin Room (Non Sea View)</v>
      </c>
      <c r="EV16" t="str">
        <v>Premium Twin Room (Non Sea View)</v>
      </c>
      <c r="EW16" t="str">
        <v>Premium Twin Room (Non Sea View)</v>
      </c>
      <c r="EX16" t="str">
        <v xml:space="preserve">Child with bed </v>
      </c>
      <c r="EY16" t="str">
        <v xml:space="preserve">Child with bed </v>
      </c>
      <c r="EZ16" t="str">
        <v xml:space="preserve">Child with bed </v>
      </c>
      <c r="FA16" t="str">
        <v xml:space="preserve">Club Room </v>
      </c>
      <c r="FB16" t="str">
        <v xml:space="preserve">Club Room </v>
      </c>
      <c r="FC16" t="str">
        <v xml:space="preserve">Club Room </v>
      </c>
      <c r="FD16" t="str">
        <v xml:space="preserve">Club Room </v>
      </c>
      <c r="FE16" t="str">
        <v xml:space="preserve">Club Room </v>
      </c>
      <c r="FF16" t="str">
        <v xml:space="preserve">Club Room </v>
      </c>
      <c r="FG16" t="str">
        <v xml:space="preserve">Club Room </v>
      </c>
      <c r="FH16" t="str">
        <v xml:space="preserve">Club Room </v>
      </c>
      <c r="FI16" t="str">
        <v xml:space="preserve">Club Room </v>
      </c>
      <c r="FJ16" t="str">
        <v xml:space="preserve">Club Room </v>
      </c>
      <c r="FK16" t="str">
        <v>Deluxe Room AC</v>
      </c>
      <c r="FL16" t="str">
        <v>Deluxe Room AC</v>
      </c>
      <c r="FM16" t="str">
        <v>Deluxe Room AC</v>
      </c>
      <c r="FN16" t="str">
        <v>Deluxe Room AC</v>
      </c>
      <c r="FO16" t="str">
        <v>Deluxe Room AC</v>
      </c>
      <c r="FP16" t="str">
        <v>Deluxe Room AC</v>
      </c>
      <c r="FU16" t="str">
        <v xml:space="preserve">Child with bed </v>
      </c>
      <c r="FV16" t="str">
        <v xml:space="preserve">Child with bed </v>
      </c>
      <c r="FW16" t="str">
        <v xml:space="preserve">Child with bed </v>
      </c>
      <c r="FX16" t="str">
        <v xml:space="preserve">Child with bed </v>
      </c>
      <c r="FY16" t="str">
        <v xml:space="preserve">Child with bed </v>
      </c>
      <c r="FZ16" t="str">
        <v>Premium AC</v>
      </c>
      <c r="GA16" t="str">
        <v>Premium AC</v>
      </c>
      <c r="GB16" t="str">
        <v>Premium AC</v>
      </c>
      <c r="GC16" t="str">
        <v>Premium AC</v>
      </c>
      <c r="GD16" t="str">
        <v>Premium AC</v>
      </c>
      <c r="GE16" t="str">
        <v>Premium AC</v>
      </c>
      <c r="GF16" t="str">
        <v>Premium AC</v>
      </c>
      <c r="GG16" t="str">
        <v>Premium AC</v>
      </c>
      <c r="GH16" t="str">
        <v>Premium AC</v>
      </c>
      <c r="GI16" t="str">
        <v xml:space="preserve">Child with bed </v>
      </c>
      <c r="GJ16" t="str">
        <v xml:space="preserve">Child with bed </v>
      </c>
      <c r="GK16" t="str">
        <v xml:space="preserve">Child with bed </v>
      </c>
      <c r="GL16" t="str">
        <v xml:space="preserve">Child with bed </v>
      </c>
      <c r="GM16" t="str">
        <v xml:space="preserve">Child with bed </v>
      </c>
    </row>
    <row r="17" spans="1:195" x14ac:dyDescent="0.25">
      <c r="A17" t="str">
        <f>IF(B16="","",_xlfn.XLOOKUP(B17,'Raw'!C:C,'Raw'!B:B))</f>
        <v xml:space="preserve">Thekkady </v>
      </c>
      <c r="B17" t="str">
        <v>KL5</v>
      </c>
      <c r="C17" t="str">
        <f>IF(B17="","",VLOOKUP(B17,RAW[[Hotel Code]:[Hotel / Resort Name ]],2,0))</f>
        <v>The Elephant Court</v>
      </c>
      <c r="H17" t="str">
        <v xml:space="preserve">Child with bed </v>
      </c>
      <c r="I17" t="str">
        <v>Extra Adult passenger</v>
      </c>
      <c r="J17" t="str">
        <v>Extra Adult passenger</v>
      </c>
      <c r="K17" t="str">
        <v>Extra Adult passenger</v>
      </c>
      <c r="L17" t="str">
        <v>Extra Adult passenger</v>
      </c>
      <c r="M17" t="str">
        <v>Extra Adult passenger</v>
      </c>
      <c r="N17" t="str">
        <v>Extra Adult passenger</v>
      </c>
      <c r="O17" t="str">
        <v>Extra Adult passenger</v>
      </c>
      <c r="P17" t="str">
        <v>Child without bed</v>
      </c>
      <c r="Q17" t="str">
        <v>Child without bed</v>
      </c>
      <c r="R17" t="str">
        <v>Child without bed</v>
      </c>
      <c r="S17" t="str">
        <v>Child without bed</v>
      </c>
      <c r="T17" t="str">
        <v>Child without bed</v>
      </c>
      <c r="U17" t="str">
        <v>Child without bed</v>
      </c>
      <c r="W17" t="str">
        <v>Lounge Suite</v>
      </c>
      <c r="X17" t="str">
        <v>Lounge Suite</v>
      </c>
      <c r="Y17" t="str">
        <v>Lounge Suite</v>
      </c>
      <c r="Z17" t="str">
        <v>Lounge Suite</v>
      </c>
      <c r="AA17" t="str">
        <v>Lounge Suite</v>
      </c>
      <c r="AB17" t="str">
        <v>Lounge Suite</v>
      </c>
      <c r="AC17" t="str">
        <v>Lounge Suite</v>
      </c>
      <c r="AD17" t="str">
        <v>Lounge Suite</v>
      </c>
      <c r="AE17" t="str">
        <v>Lounge Suite</v>
      </c>
      <c r="AF17" t="str">
        <v>Lounge Suite</v>
      </c>
      <c r="AG17" t="str">
        <v>Lounge Suite</v>
      </c>
      <c r="AJ17" t="str">
        <v xml:space="preserve">Pool Villa </v>
      </c>
      <c r="AK17" t="str">
        <v xml:space="preserve">Pool Villa </v>
      </c>
      <c r="AL17" t="str">
        <v xml:space="preserve">Pool Villa </v>
      </c>
      <c r="AM17" t="str">
        <v xml:space="preserve">Pool Villa </v>
      </c>
      <c r="AN17" t="str">
        <v xml:space="preserve">Pool Villa </v>
      </c>
      <c r="AO17" t="str">
        <v xml:space="preserve">Pool Villa </v>
      </c>
      <c r="AP17" t="str">
        <v xml:space="preserve">Pool Villa </v>
      </c>
      <c r="AQ17" t="str">
        <v xml:space="preserve">Pool Villa </v>
      </c>
      <c r="AR17" t="str">
        <v xml:space="preserve">Pool Villa </v>
      </c>
      <c r="AS17" t="str">
        <v xml:space="preserve">Heritage Suite </v>
      </c>
      <c r="AT17" t="str">
        <v xml:space="preserve">Heritage Suite </v>
      </c>
      <c r="AU17" t="str">
        <v xml:space="preserve">Heritage Suite </v>
      </c>
      <c r="AV17" t="str">
        <v xml:space="preserve">Heritage Suite </v>
      </c>
      <c r="AW17" t="str">
        <v xml:space="preserve">Heritage Suite </v>
      </c>
      <c r="AX17" t="str">
        <v xml:space="preserve">Heritage Suite </v>
      </c>
      <c r="AY17" t="str">
        <v xml:space="preserve">Heritage Suite </v>
      </c>
      <c r="AZ17" t="str">
        <v xml:space="preserve">Heritage Suite </v>
      </c>
      <c r="BA17" t="str">
        <v xml:space="preserve">Child with bed </v>
      </c>
      <c r="BB17" t="str">
        <v xml:space="preserve">Child with bed </v>
      </c>
      <c r="BC17" t="str">
        <v xml:space="preserve">Child with bed </v>
      </c>
      <c r="BD17" t="str">
        <v xml:space="preserve">Child with bed </v>
      </c>
      <c r="BE17" t="str">
        <v xml:space="preserve">Child with bed </v>
      </c>
      <c r="BF17" t="str">
        <v xml:space="preserve">Child with bed </v>
      </c>
      <c r="BG17" t="str">
        <v>Child without bed</v>
      </c>
      <c r="BH17" t="str">
        <v>Child without bed</v>
      </c>
      <c r="BI17" t="str">
        <v>Child without bed</v>
      </c>
      <c r="BJ17" t="str">
        <v>Child without bed</v>
      </c>
      <c r="BK17" t="str">
        <v>Child without bed</v>
      </c>
      <c r="BL17" t="str">
        <v>Child without bed</v>
      </c>
      <c r="BM17" t="str">
        <v xml:space="preserve">Child with bed </v>
      </c>
      <c r="BN17" t="str">
        <v xml:space="preserve">Child with bed </v>
      </c>
      <c r="BO17" t="str">
        <v>Extra Adult passenger</v>
      </c>
      <c r="BP17" t="str">
        <v>Extra Adult passenger</v>
      </c>
      <c r="BQ17" t="str">
        <v>Extra Adult passenger</v>
      </c>
      <c r="BR17" t="str">
        <v>Extra Adult passenger</v>
      </c>
      <c r="BS17" t="str">
        <v>Extra Adult passenger</v>
      </c>
      <c r="BV17" t="str">
        <v xml:space="preserve">Child with bed </v>
      </c>
      <c r="BW17" t="str">
        <v xml:space="preserve">Child with bed </v>
      </c>
      <c r="BX17" t="str">
        <v xml:space="preserve">Child with bed </v>
      </c>
      <c r="BY17" t="str">
        <v xml:space="preserve">Child with bed </v>
      </c>
      <c r="BZ17" t="str">
        <v xml:space="preserve">Child with bed </v>
      </c>
      <c r="CA17" t="str">
        <v xml:space="preserve">Child with bed </v>
      </c>
      <c r="CB17" t="str">
        <v>Extra Adult passenger</v>
      </c>
      <c r="CC17" t="str">
        <v>Extra Adult passenger</v>
      </c>
      <c r="CD17" t="str">
        <v>Extra Adult passenger</v>
      </c>
      <c r="CE17" t="str">
        <v>Extra Adult passenger</v>
      </c>
      <c r="CF17" t="str">
        <v>Extra Adult passenger</v>
      </c>
      <c r="CG17" t="str">
        <v>Extra Adult passenger</v>
      </c>
      <c r="CH17" t="str">
        <v>Extra Adult passenger</v>
      </c>
      <c r="CI17" t="str">
        <v>Tea Valley Deluxe</v>
      </c>
      <c r="CJ17" t="str">
        <v>Tea Valley Deluxe</v>
      </c>
      <c r="CK17" t="str">
        <v>Tea Valley Deluxe</v>
      </c>
      <c r="CL17" t="str">
        <v>Tea Valley Deluxe</v>
      </c>
      <c r="CM17" t="str">
        <v>Tea Valley Deluxe</v>
      </c>
      <c r="CN17" t="str">
        <v>Tea Valley Deluxe</v>
      </c>
      <c r="CO17" t="str">
        <v>Tea Valley Deluxe</v>
      </c>
      <c r="CP17" t="str">
        <v>Tea Valley Deluxe</v>
      </c>
      <c r="CQ17" t="str">
        <v>Tea Valley Deluxe</v>
      </c>
      <c r="CR17" t="str">
        <v>Child without bed</v>
      </c>
      <c r="CS17" t="str">
        <v>Jungle View Family- 4Pax (A/c)</v>
      </c>
      <c r="CT17" t="str">
        <v>Jungle View Family- 4Pax (A/c)</v>
      </c>
      <c r="CU17" t="str">
        <v>Jungle View Family- 4Pax (A/c)</v>
      </c>
      <c r="CV17" t="str">
        <v>Jungle View Family- 4Pax (A/c)</v>
      </c>
      <c r="CW17" t="str">
        <v>Jungle View Family- 4Pax (A/c)</v>
      </c>
      <c r="CX17" t="str">
        <v>Jungle View Family- 4Pax (A/c)</v>
      </c>
      <c r="CY17" t="str">
        <v>Jungle View Family- 4Pax (A/c)</v>
      </c>
      <c r="CZ17" t="str">
        <v>Jungle View Family- 4Pax (A/c)</v>
      </c>
      <c r="DA17" t="str">
        <v>Child without bed</v>
      </c>
      <c r="DC17" t="str">
        <v xml:space="preserve">Wooden Suite (Partial Sea View) </v>
      </c>
      <c r="DD17" t="str">
        <v xml:space="preserve">Wooden Suite (Partial Sea View) </v>
      </c>
      <c r="DE17" t="str">
        <v xml:space="preserve">Wooden Suite (Partial Sea View) </v>
      </c>
      <c r="DF17" t="str">
        <v xml:space="preserve">Wooden Suite (Partial Sea View) </v>
      </c>
      <c r="DG17" t="str">
        <v xml:space="preserve">Wooden Suite (Partial Sea View) </v>
      </c>
      <c r="DH17" t="str">
        <v xml:space="preserve">Wooden Suite (Partial Sea View) </v>
      </c>
      <c r="DI17" t="str">
        <v>Royal Seaview</v>
      </c>
      <c r="DJ17" t="str">
        <v>Royal Seaview</v>
      </c>
      <c r="DK17" t="str">
        <v>Royal Seaview</v>
      </c>
      <c r="DL17" t="str">
        <v>Royal Seaview</v>
      </c>
      <c r="DM17" t="str">
        <v>Royal Seaview</v>
      </c>
      <c r="DN17" t="str">
        <v>Royal Seaview</v>
      </c>
      <c r="DO17" t="str">
        <v>Royal Seaview</v>
      </c>
      <c r="DP17" t="str">
        <v xml:space="preserve">Child with bed </v>
      </c>
      <c r="DQ17" t="str">
        <v xml:space="preserve">Child with bed </v>
      </c>
      <c r="DR17" t="str">
        <v xml:space="preserve">Child with bed </v>
      </c>
      <c r="DS17" t="str">
        <v>Extra Adult passenger</v>
      </c>
      <c r="DT17" t="str">
        <v>Extra Adult passenger</v>
      </c>
      <c r="DU17" t="str">
        <v>Extra Adult passenger</v>
      </c>
      <c r="DV17" t="str">
        <v>Extra Adult passenger</v>
      </c>
      <c r="DW17" t="str">
        <v>Extra Adult passenger</v>
      </c>
      <c r="DX17" t="str">
        <v>Extra Adult passenger</v>
      </c>
      <c r="DY17" t="str">
        <v>Extra Adult passenger</v>
      </c>
      <c r="DZ17" t="str">
        <v>Premium Suite</v>
      </c>
      <c r="EA17" t="str">
        <v>Premium Suite</v>
      </c>
      <c r="EB17" t="str">
        <v>Premium Suite</v>
      </c>
      <c r="EC17" t="str">
        <v>Premium Suite</v>
      </c>
      <c r="ED17" t="str">
        <v>Premium Suite</v>
      </c>
      <c r="EE17" t="str">
        <v>Premium Suite</v>
      </c>
      <c r="EF17" t="str">
        <v>Premium Suite</v>
      </c>
      <c r="EG17" t="str">
        <v>Premium Suite</v>
      </c>
      <c r="EH17" t="str">
        <v>Child without bed</v>
      </c>
      <c r="EI17" t="str">
        <v>Child without bed</v>
      </c>
      <c r="EJ17" t="str">
        <v xml:space="preserve">Wooden Suite (Partial Sea View) </v>
      </c>
      <c r="EK17" t="str">
        <v xml:space="preserve">Wooden Suite (Partial Sea View) </v>
      </c>
      <c r="EL17" t="str">
        <v xml:space="preserve">Wooden Suite (Partial Sea View) </v>
      </c>
      <c r="EM17" t="str">
        <v>Child without bed</v>
      </c>
      <c r="EN17" t="str">
        <v>Child without bed</v>
      </c>
      <c r="EO17" t="str">
        <v>Premium Sea View Suite Room with Balcony</v>
      </c>
      <c r="EP17" t="str">
        <v>Premium Sea View Suite Room with Balcony</v>
      </c>
      <c r="EQ17" t="str">
        <v>Premium Sea View Suite Room with Balcony</v>
      </c>
      <c r="ER17" t="str">
        <v>Premium Sea View Suite Room with Balcony</v>
      </c>
      <c r="ES17" t="str">
        <v>Premium Sea View Suite Room with Balcony</v>
      </c>
      <c r="ET17" t="str">
        <v>Premium Sea View Suite Room with Balcony</v>
      </c>
      <c r="EU17" t="str">
        <v>Premium Sea View Suite Room with Balcony</v>
      </c>
      <c r="EV17" t="str">
        <v>Premium Sea View Suite Room with Balcony</v>
      </c>
      <c r="EW17" t="str">
        <v>Premium Sea View Suite Room with Balcony</v>
      </c>
      <c r="EX17" t="str">
        <v>Child without bed</v>
      </c>
      <c r="EY17" t="str">
        <v>Child without bed</v>
      </c>
      <c r="EZ17" t="str">
        <v>Child without bed</v>
      </c>
      <c r="FA17" t="str">
        <v>Viceroy Room</v>
      </c>
      <c r="FB17" t="str">
        <v>Viceroy Room</v>
      </c>
      <c r="FC17" t="str">
        <v>Viceroy Room</v>
      </c>
      <c r="FD17" t="str">
        <v>Viceroy Room</v>
      </c>
      <c r="FE17" t="str">
        <v>Viceroy Room</v>
      </c>
      <c r="FF17" t="str">
        <v>Viceroy Room</v>
      </c>
      <c r="FG17" t="str">
        <v>Viceroy Room</v>
      </c>
      <c r="FH17" t="str">
        <v>Viceroy Room</v>
      </c>
      <c r="FI17" t="str">
        <v>Viceroy Room</v>
      </c>
      <c r="FJ17" t="str">
        <v>Viceroy Room</v>
      </c>
      <c r="FK17" t="str">
        <v>Suite Room</v>
      </c>
      <c r="FL17" t="str">
        <v>Suite Room</v>
      </c>
      <c r="FM17" t="str">
        <v>Suite Room</v>
      </c>
      <c r="FN17" t="str">
        <v>Suite Room</v>
      </c>
      <c r="FO17" t="str">
        <v>Suite Room</v>
      </c>
      <c r="FP17" t="str">
        <v>Suite Room</v>
      </c>
      <c r="FU17" t="str">
        <v>Child without bed</v>
      </c>
      <c r="FV17" t="str">
        <v>Child without bed</v>
      </c>
      <c r="FW17" t="str">
        <v>Child without bed</v>
      </c>
      <c r="FX17" t="str">
        <v>Child without bed</v>
      </c>
      <c r="FY17" t="str">
        <v>Child without bed</v>
      </c>
      <c r="FZ17" t="str">
        <v>Super Deluxe Family Room (4 Pax)</v>
      </c>
      <c r="GA17" t="str">
        <v>Super Deluxe Family Room (4 Pax)</v>
      </c>
      <c r="GB17" t="str">
        <v>Super Deluxe Family Room (4 Pax)</v>
      </c>
      <c r="GC17" t="str">
        <v>Super Deluxe Family Room (4 Pax)</v>
      </c>
      <c r="GD17" t="str">
        <v>Super Deluxe Family Room (4 Pax)</v>
      </c>
      <c r="GE17" t="str">
        <v>Super Deluxe Family Room (4 Pax)</v>
      </c>
      <c r="GF17" t="str">
        <v>Super Deluxe Family Room (4 Pax)</v>
      </c>
      <c r="GG17" t="str">
        <v>Super Deluxe Family Room (4 Pax)</v>
      </c>
      <c r="GH17" t="str">
        <v>Super Deluxe Family Room (4 Pax)</v>
      </c>
      <c r="GI17" t="str">
        <v>Child without bed</v>
      </c>
      <c r="GJ17" t="str">
        <v>Child without bed</v>
      </c>
      <c r="GK17" t="str">
        <v>Child without bed</v>
      </c>
      <c r="GL17" t="str">
        <v>Child without bed</v>
      </c>
      <c r="GM17" t="str">
        <v>Child without bed</v>
      </c>
    </row>
    <row r="18" spans="1:195" x14ac:dyDescent="0.25">
      <c r="A18" t="str">
        <f>IF(B17="","",_xlfn.XLOOKUP(B18,'Raw'!C:C,'Raw'!B:B))</f>
        <v xml:space="preserve">Thekkady </v>
      </c>
      <c r="B18" t="str">
        <v>KL6</v>
      </c>
      <c r="C18" t="str">
        <f>IF(B18="","",VLOOKUP(B18,RAW[[Hotel Code]:[Hotel / Resort Name ]],2,0))</f>
        <v>The Elephant Court</v>
      </c>
      <c r="H18" t="str">
        <v>Child without bed</v>
      </c>
      <c r="I18" t="str">
        <v xml:space="preserve">Child with bed </v>
      </c>
      <c r="J18" t="str">
        <v xml:space="preserve">Child with bed </v>
      </c>
      <c r="K18" t="str">
        <v xml:space="preserve">Child with bed </v>
      </c>
      <c r="L18" t="str">
        <v xml:space="preserve">Child with bed </v>
      </c>
      <c r="M18" t="str">
        <v xml:space="preserve">Child with bed </v>
      </c>
      <c r="N18" t="str">
        <v xml:space="preserve">Child with bed </v>
      </c>
      <c r="O18" t="str">
        <v xml:space="preserve">Child with bed </v>
      </c>
      <c r="P18" t="str">
        <v>Premium Room</v>
      </c>
      <c r="Q18" t="str">
        <v>Premium Room</v>
      </c>
      <c r="R18" t="str">
        <v>Premium Room</v>
      </c>
      <c r="S18" t="str">
        <v>Premium Room</v>
      </c>
      <c r="T18" t="str">
        <v>Premium Room</v>
      </c>
      <c r="U18" t="str">
        <v>Premium Room</v>
      </c>
      <c r="W18" t="str">
        <v>Lounge Seaview Suite</v>
      </c>
      <c r="X18" t="str">
        <v>Lounge Seaview Suite</v>
      </c>
      <c r="Y18" t="str">
        <v>Lounge Seaview Suite</v>
      </c>
      <c r="Z18" t="str">
        <v>Lounge Seaview Suite</v>
      </c>
      <c r="AA18" t="str">
        <v>Lounge Seaview Suite</v>
      </c>
      <c r="AB18" t="str">
        <v>Lounge Seaview Suite</v>
      </c>
      <c r="AC18" t="str">
        <v>Lounge Seaview Suite</v>
      </c>
      <c r="AD18" t="str">
        <v>Lounge Seaview Suite</v>
      </c>
      <c r="AE18" t="str">
        <v>Lounge Seaview Suite</v>
      </c>
      <c r="AF18" t="str">
        <v>Lounge Seaview Suite</v>
      </c>
      <c r="AG18" t="str">
        <v>Lounge Seaview Suite</v>
      </c>
      <c r="AJ18" t="str">
        <v xml:space="preserve">Premium Pool Villa (2 Bed Room unit) </v>
      </c>
      <c r="AK18" t="str">
        <v xml:space="preserve">Premium Pool Villa (2 Bed Room unit) </v>
      </c>
      <c r="AL18" t="str">
        <v xml:space="preserve">Premium Pool Villa (2 Bed Room unit) </v>
      </c>
      <c r="AM18" t="str">
        <v xml:space="preserve">Premium Pool Villa (2 Bed Room unit) </v>
      </c>
      <c r="AN18" t="str">
        <v xml:space="preserve">Premium Pool Villa (2 Bed Room unit) </v>
      </c>
      <c r="AO18" t="str">
        <v xml:space="preserve">Premium Pool Villa (2 Bed Room unit) </v>
      </c>
      <c r="AP18" t="str">
        <v xml:space="preserve">Premium Pool Villa (2 Bed Room unit) </v>
      </c>
      <c r="AQ18" t="str">
        <v xml:space="preserve">Premium Pool Villa (2 Bed Room unit) </v>
      </c>
      <c r="AR18" t="str">
        <v xml:space="preserve">Premium Pool Villa (2 Bed Room unit) </v>
      </c>
      <c r="AS18" t="str">
        <v>Extra Adult passenger</v>
      </c>
      <c r="AT18" t="str">
        <v>Extra Adult passenger</v>
      </c>
      <c r="AU18" t="str">
        <v>Extra Adult passenger</v>
      </c>
      <c r="AV18" t="str">
        <v>Extra Adult passenger</v>
      </c>
      <c r="AW18" t="str">
        <v>Extra Adult passenger</v>
      </c>
      <c r="AX18" t="str">
        <v>Extra Adult passenger</v>
      </c>
      <c r="AY18" t="str">
        <v>Extra Adult passenger</v>
      </c>
      <c r="AZ18" t="str">
        <v>Extra Adult passenger</v>
      </c>
      <c r="BA18" t="str">
        <v>Child without bed</v>
      </c>
      <c r="BB18" t="str">
        <v>Child without bed</v>
      </c>
      <c r="BC18" t="str">
        <v>Child without bed</v>
      </c>
      <c r="BD18" t="str">
        <v>Child without bed</v>
      </c>
      <c r="BE18" t="str">
        <v>Child without bed</v>
      </c>
      <c r="BF18" t="str">
        <v>Child without bed</v>
      </c>
      <c r="BM18" t="str">
        <v>Child without bed</v>
      </c>
      <c r="BN18" t="str">
        <v>Child without bed</v>
      </c>
      <c r="BV18" t="str">
        <v>Child without bed</v>
      </c>
      <c r="BW18" t="str">
        <v>Child without bed</v>
      </c>
      <c r="BX18" t="str">
        <v>Child without bed</v>
      </c>
      <c r="BY18" t="str">
        <v>Child without bed</v>
      </c>
      <c r="BZ18" t="str">
        <v>Child without bed</v>
      </c>
      <c r="CA18" t="str">
        <v>Child without bed</v>
      </c>
      <c r="CB18" t="str">
        <v xml:space="preserve">Child with bed </v>
      </c>
      <c r="CC18" t="str">
        <v xml:space="preserve">Child with bed </v>
      </c>
      <c r="CD18" t="str">
        <v xml:space="preserve">Child with bed </v>
      </c>
      <c r="CE18" t="str">
        <v xml:space="preserve">Child with bed </v>
      </c>
      <c r="CF18" t="str">
        <v xml:space="preserve">Child with bed </v>
      </c>
      <c r="CG18" t="str">
        <v xml:space="preserve">Child with bed </v>
      </c>
      <c r="CH18" t="str">
        <v xml:space="preserve">Child with bed </v>
      </c>
      <c r="CI18" t="str">
        <v>Tea Valley Premium</v>
      </c>
      <c r="CJ18" t="str">
        <v>Tea Valley Premium</v>
      </c>
      <c r="CK18" t="str">
        <v>Tea Valley Premium</v>
      </c>
      <c r="CL18" t="str">
        <v>Tea Valley Premium</v>
      </c>
      <c r="CM18" t="str">
        <v>Tea Valley Premium</v>
      </c>
      <c r="CN18" t="str">
        <v>Tea Valley Premium</v>
      </c>
      <c r="CO18" t="str">
        <v>Tea Valley Premium</v>
      </c>
      <c r="CP18" t="str">
        <v>Tea Valley Premium</v>
      </c>
      <c r="CQ18" t="str">
        <v>Tea Valley Premium</v>
      </c>
      <c r="CS18" t="str">
        <v>Extra Adult passenger</v>
      </c>
      <c r="CT18" t="str">
        <v>Extra Adult passenger</v>
      </c>
      <c r="CU18" t="str">
        <v>Extra Adult passenger</v>
      </c>
      <c r="CV18" t="str">
        <v>Extra Adult passenger</v>
      </c>
      <c r="CW18" t="str">
        <v>Extra Adult passenger</v>
      </c>
      <c r="CX18" t="str">
        <v>Extra Adult passenger</v>
      </c>
      <c r="CY18" t="str">
        <v>Extra Adult passenger</v>
      </c>
      <c r="CZ18" t="str">
        <v>Extra Adult passenger</v>
      </c>
      <c r="DC18" t="str">
        <v xml:space="preserve">Pearl Sea View With Terrace (Best Sea View) </v>
      </c>
      <c r="DD18" t="str">
        <v xml:space="preserve">Pearl Sea View With Terrace (Best Sea View) </v>
      </c>
      <c r="DE18" t="str">
        <v xml:space="preserve">Pearl Sea View With Terrace (Best Sea View) </v>
      </c>
      <c r="DF18" t="str">
        <v xml:space="preserve">Pearl Sea View With Terrace (Best Sea View) </v>
      </c>
      <c r="DG18" t="str">
        <v xml:space="preserve">Pearl Sea View With Terrace (Best Sea View) </v>
      </c>
      <c r="DH18" t="str">
        <v xml:space="preserve">Pearl Sea View With Terrace (Best Sea View) </v>
      </c>
      <c r="DI18" t="str">
        <v>Panoramic Vista</v>
      </c>
      <c r="DJ18" t="str">
        <v>Panoramic Vista</v>
      </c>
      <c r="DK18" t="str">
        <v>Panoramic Vista</v>
      </c>
      <c r="DL18" t="str">
        <v>Panoramic Vista</v>
      </c>
      <c r="DM18" t="str">
        <v>Panoramic Vista</v>
      </c>
      <c r="DN18" t="str">
        <v>Panoramic Vista</v>
      </c>
      <c r="DO18" t="str">
        <v>Panoramic Vista</v>
      </c>
      <c r="DP18" t="str">
        <v>Child without bed</v>
      </c>
      <c r="DQ18" t="str">
        <v>Child without bed</v>
      </c>
      <c r="DR18" t="str">
        <v>Child without bed</v>
      </c>
      <c r="DS18" t="str">
        <v xml:space="preserve">Child with bed </v>
      </c>
      <c r="DT18" t="str">
        <v xml:space="preserve">Child with bed </v>
      </c>
      <c r="DU18" t="str">
        <v xml:space="preserve">Child with bed </v>
      </c>
      <c r="DV18" t="str">
        <v xml:space="preserve">Child with bed </v>
      </c>
      <c r="DW18" t="str">
        <v xml:space="preserve">Child with bed </v>
      </c>
      <c r="DX18" t="str">
        <v xml:space="preserve">Child with bed </v>
      </c>
      <c r="DY18" t="str">
        <v xml:space="preserve">Child with bed </v>
      </c>
      <c r="DZ18" t="str">
        <v>Extra Adult passenger</v>
      </c>
      <c r="EA18" t="str">
        <v>Extra Adult passenger</v>
      </c>
      <c r="EB18" t="str">
        <v>Extra Adult passenger</v>
      </c>
      <c r="EC18" t="str">
        <v>Extra Adult passenger</v>
      </c>
      <c r="ED18" t="str">
        <v>Extra Adult passenger</v>
      </c>
      <c r="EE18" t="str">
        <v>Extra Adult passenger</v>
      </c>
      <c r="EF18" t="str">
        <v>Extra Adult passenger</v>
      </c>
      <c r="EG18" t="str">
        <v>Extra Adult passenger</v>
      </c>
      <c r="EJ18" t="str">
        <v xml:space="preserve">Pearl Sea View With Terrace (Best Sea View) </v>
      </c>
      <c r="EK18" t="str">
        <v xml:space="preserve">Pearl Sea View With Terrace (Best Sea View) </v>
      </c>
      <c r="EL18" t="str">
        <v xml:space="preserve">Pearl Sea View With Terrace (Best Sea View) </v>
      </c>
      <c r="EO18" t="str">
        <v>Cottage Villa with Living Area</v>
      </c>
      <c r="EP18" t="str">
        <v>Cottage Villa with Living Area</v>
      </c>
      <c r="EQ18" t="str">
        <v>Cottage Villa with Living Area</v>
      </c>
      <c r="ER18" t="str">
        <v>Cottage Villa with Living Area</v>
      </c>
      <c r="ES18" t="str">
        <v>Cottage Villa with Living Area</v>
      </c>
      <c r="ET18" t="str">
        <v>Cottage Villa with Living Area</v>
      </c>
      <c r="EU18" t="str">
        <v>Cottage Villa with Living Area</v>
      </c>
      <c r="EV18" t="str">
        <v>Cottage Villa with Living Area</v>
      </c>
      <c r="EW18" t="str">
        <v>Cottage Villa with Living Area</v>
      </c>
      <c r="FA18" t="str">
        <v xml:space="preserve">Majestic Luxury [Bathtub Room] </v>
      </c>
      <c r="FB18" t="str">
        <v xml:space="preserve">Majestic Luxury [Bathtub Room] </v>
      </c>
      <c r="FC18" t="str">
        <v xml:space="preserve">Majestic Luxury [Bathtub Room] </v>
      </c>
      <c r="FD18" t="str">
        <v xml:space="preserve">Majestic Luxury [Bathtub Room] </v>
      </c>
      <c r="FE18" t="str">
        <v xml:space="preserve">Majestic Luxury [Bathtub Room] </v>
      </c>
      <c r="FF18" t="str">
        <v xml:space="preserve">Majestic Luxury [Bathtub Room] </v>
      </c>
      <c r="FG18" t="str">
        <v xml:space="preserve">Majestic Luxury [Bathtub Room] </v>
      </c>
      <c r="FH18" t="str">
        <v xml:space="preserve">Majestic Luxury [Bathtub Room] </v>
      </c>
      <c r="FI18" t="str">
        <v xml:space="preserve">Majestic Luxury [Bathtub Room] </v>
      </c>
      <c r="FJ18" t="str">
        <v xml:space="preserve">Majestic Luxury [Bathtub Room] </v>
      </c>
      <c r="FK18" t="str">
        <v>Extra Adult passenger</v>
      </c>
      <c r="FL18" t="str">
        <v>Extra Adult passenger</v>
      </c>
      <c r="FM18" t="str">
        <v>Extra Adult passenger</v>
      </c>
      <c r="FN18" t="str">
        <v>Extra Adult passenger</v>
      </c>
      <c r="FO18" t="str">
        <v>Extra Adult passenger</v>
      </c>
      <c r="FP18" t="str">
        <v>Extra Adult passenger</v>
      </c>
      <c r="FZ18" t="str">
        <v>The Pool Club</v>
      </c>
      <c r="GA18" t="str">
        <v>The Pool Club</v>
      </c>
      <c r="GB18" t="str">
        <v>The Pool Club</v>
      </c>
      <c r="GC18" t="str">
        <v>The Pool Club</v>
      </c>
      <c r="GD18" t="str">
        <v>The Pool Club</v>
      </c>
      <c r="GE18" t="str">
        <v>The Pool Club</v>
      </c>
      <c r="GF18" t="str">
        <v>The Pool Club</v>
      </c>
      <c r="GG18" t="str">
        <v>The Pool Club</v>
      </c>
      <c r="GH18" t="str">
        <v>The Pool Club</v>
      </c>
    </row>
    <row r="19" spans="1:195" x14ac:dyDescent="0.25">
      <c r="A19" t="str">
        <f>IF(B18="","",_xlfn.XLOOKUP(B19,'Raw'!C:C,'Raw'!B:B))</f>
        <v xml:space="preserve">Thekkady </v>
      </c>
      <c r="B19" t="str">
        <v>KL7</v>
      </c>
      <c r="C19" t="str">
        <f>IF(B19="","",VLOOKUP(B19,RAW[[Hotel Code]:[Hotel / Resort Name ]],2,0))</f>
        <v>The Elephant Court</v>
      </c>
      <c r="I19" t="str">
        <v>Child without bed</v>
      </c>
      <c r="J19" t="str">
        <v>Child without bed</v>
      </c>
      <c r="K19" t="str">
        <v>Child without bed</v>
      </c>
      <c r="L19" t="str">
        <v>Child without bed</v>
      </c>
      <c r="M19" t="str">
        <v>Child without bed</v>
      </c>
      <c r="N19" t="str">
        <v>Child without bed</v>
      </c>
      <c r="O19" t="str">
        <v>Child without bed</v>
      </c>
      <c r="W19" t="str">
        <v>Ocean Breeze Suite</v>
      </c>
      <c r="X19" t="str">
        <v>Ocean Breeze Suite</v>
      </c>
      <c r="Y19" t="str">
        <v>Ocean Breeze Suite</v>
      </c>
      <c r="Z19" t="str">
        <v>Ocean Breeze Suite</v>
      </c>
      <c r="AA19" t="str">
        <v>Ocean Breeze Suite</v>
      </c>
      <c r="AB19" t="str">
        <v>Ocean Breeze Suite</v>
      </c>
      <c r="AC19" t="str">
        <v>Ocean Breeze Suite</v>
      </c>
      <c r="AD19" t="str">
        <v>Ocean Breeze Suite</v>
      </c>
      <c r="AE19" t="str">
        <v>Ocean Breeze Suite</v>
      </c>
      <c r="AF19" t="str">
        <v>Ocean Breeze Suite</v>
      </c>
      <c r="AG19" t="str">
        <v>Ocean Breeze Suite</v>
      </c>
      <c r="AJ19" t="str">
        <v>Extra Adult passenger</v>
      </c>
      <c r="AK19" t="str">
        <v>Extra Adult passenger</v>
      </c>
      <c r="AL19" t="str">
        <v>Extra Adult passenger</v>
      </c>
      <c r="AM19" t="str">
        <v>Extra Adult passenger</v>
      </c>
      <c r="AN19" t="str">
        <v>Extra Adult passenger</v>
      </c>
      <c r="AO19" t="str">
        <v>Extra Adult passenger</v>
      </c>
      <c r="AP19" t="str">
        <v>Extra Adult passenger</v>
      </c>
      <c r="AQ19" t="str">
        <v>Extra Adult passenger</v>
      </c>
      <c r="AR19" t="str">
        <v>Extra Adult passenger</v>
      </c>
      <c r="AS19" t="str">
        <v xml:space="preserve">Child with bed </v>
      </c>
      <c r="AT19" t="str">
        <v xml:space="preserve">Child with bed </v>
      </c>
      <c r="AU19" t="str">
        <v xml:space="preserve">Child with bed </v>
      </c>
      <c r="AV19" t="str">
        <v xml:space="preserve">Child with bed </v>
      </c>
      <c r="AW19" t="str">
        <v xml:space="preserve">Child with bed </v>
      </c>
      <c r="AX19" t="str">
        <v xml:space="preserve">Child with bed </v>
      </c>
      <c r="AY19" t="str">
        <v xml:space="preserve">Child with bed </v>
      </c>
      <c r="AZ19" t="str">
        <v xml:space="preserve">Child with bed </v>
      </c>
      <c r="CB19" t="str">
        <v>Child without bed</v>
      </c>
      <c r="CC19" t="str">
        <v>Child without bed</v>
      </c>
      <c r="CD19" t="str">
        <v>Child without bed</v>
      </c>
      <c r="CE19" t="str">
        <v>Child without bed</v>
      </c>
      <c r="CF19" t="str">
        <v>Child without bed</v>
      </c>
      <c r="CG19" t="str">
        <v>Child without bed</v>
      </c>
      <c r="CH19" t="str">
        <v>Child without bed</v>
      </c>
      <c r="CI19" t="str">
        <v>Extra Adult passenger</v>
      </c>
      <c r="CJ19" t="str">
        <v>Extra Adult passenger</v>
      </c>
      <c r="CK19" t="str">
        <v>Extra Adult passenger</v>
      </c>
      <c r="CL19" t="str">
        <v>Extra Adult passenger</v>
      </c>
      <c r="CM19" t="str">
        <v>Extra Adult passenger</v>
      </c>
      <c r="CN19" t="str">
        <v>Extra Adult passenger</v>
      </c>
      <c r="CO19" t="str">
        <v>Extra Adult passenger</v>
      </c>
      <c r="CP19" t="str">
        <v>Extra Adult passenger</v>
      </c>
      <c r="CQ19" t="str">
        <v>Extra Adult passenger</v>
      </c>
      <c r="CS19" t="str">
        <v xml:space="preserve">Child with bed </v>
      </c>
      <c r="CT19" t="str">
        <v xml:space="preserve">Child with bed </v>
      </c>
      <c r="CU19" t="str">
        <v xml:space="preserve">Child with bed </v>
      </c>
      <c r="CV19" t="str">
        <v xml:space="preserve">Child with bed </v>
      </c>
      <c r="CW19" t="str">
        <v xml:space="preserve">Child with bed </v>
      </c>
      <c r="CX19" t="str">
        <v xml:space="preserve">Child with bed </v>
      </c>
      <c r="CY19" t="str">
        <v xml:space="preserve">Child with bed </v>
      </c>
      <c r="CZ19" t="str">
        <v xml:space="preserve">Child with bed </v>
      </c>
      <c r="DC19" t="str">
        <v>Extra Adult passenger</v>
      </c>
      <c r="DD19" t="str">
        <v>Extra Adult passenger</v>
      </c>
      <c r="DE19" t="str">
        <v>Extra Adult passenger</v>
      </c>
      <c r="DF19" t="str">
        <v>Extra Adult passenger</v>
      </c>
      <c r="DG19" t="str">
        <v>Extra Adult passenger</v>
      </c>
      <c r="DH19" t="str">
        <v>Extra Adult passenger</v>
      </c>
      <c r="DI19" t="str">
        <v>D Series (No View)</v>
      </c>
      <c r="DJ19" t="str">
        <v>D Series (No View)</v>
      </c>
      <c r="DK19" t="str">
        <v>D Series (No View)</v>
      </c>
      <c r="DL19" t="str">
        <v>D Series (No View)</v>
      </c>
      <c r="DM19" t="str">
        <v>D Series (No View)</v>
      </c>
      <c r="DN19" t="str">
        <v>D Series (No View)</v>
      </c>
      <c r="DO19" t="str">
        <v>D Series (No View)</v>
      </c>
      <c r="DS19" t="str">
        <v>Child without bed</v>
      </c>
      <c r="DT19" t="str">
        <v>Child without bed</v>
      </c>
      <c r="DU19" t="str">
        <v>Child without bed</v>
      </c>
      <c r="DV19" t="str">
        <v>Child without bed</v>
      </c>
      <c r="DW19" t="str">
        <v>Child without bed</v>
      </c>
      <c r="DX19" t="str">
        <v>Child without bed</v>
      </c>
      <c r="DY19" t="str">
        <v>Child without bed</v>
      </c>
      <c r="DZ19" t="str">
        <v xml:space="preserve">Child with bed </v>
      </c>
      <c r="EA19" t="str">
        <v xml:space="preserve">Child with bed </v>
      </c>
      <c r="EB19" t="str">
        <v xml:space="preserve">Child with bed </v>
      </c>
      <c r="EC19" t="str">
        <v xml:space="preserve">Child with bed </v>
      </c>
      <c r="ED19" t="str">
        <v xml:space="preserve">Child with bed </v>
      </c>
      <c r="EE19" t="str">
        <v xml:space="preserve">Child with bed </v>
      </c>
      <c r="EF19" t="str">
        <v xml:space="preserve">Child with bed </v>
      </c>
      <c r="EG19" t="str">
        <v xml:space="preserve">Child with bed </v>
      </c>
      <c r="EJ19" t="str">
        <v>Extra Adult passenger</v>
      </c>
      <c r="EK19" t="str">
        <v>Extra Adult passenger</v>
      </c>
      <c r="EL19" t="str">
        <v>Extra Adult passenger</v>
      </c>
      <c r="EO19" t="str">
        <v>Extra Adult passenger</v>
      </c>
      <c r="EP19" t="str">
        <v>Extra Adult passenger</v>
      </c>
      <c r="EQ19" t="str">
        <v>Extra Adult passenger</v>
      </c>
      <c r="ER19" t="str">
        <v>Extra Adult passenger</v>
      </c>
      <c r="ES19" t="str">
        <v>Extra Adult passenger</v>
      </c>
      <c r="ET19" t="str">
        <v>Extra Adult passenger</v>
      </c>
      <c r="EU19" t="str">
        <v>Extra Adult passenger</v>
      </c>
      <c r="EV19" t="str">
        <v>Extra Adult passenger</v>
      </c>
      <c r="EW19" t="str">
        <v>Extra Adult passenger</v>
      </c>
      <c r="FA19" t="str">
        <v xml:space="preserve">Royale Luxury Jacuzzi </v>
      </c>
      <c r="FB19" t="str">
        <v xml:space="preserve">Royale Luxury Jacuzzi </v>
      </c>
      <c r="FC19" t="str">
        <v xml:space="preserve">Royale Luxury Jacuzzi </v>
      </c>
      <c r="FD19" t="str">
        <v xml:space="preserve">Royale Luxury Jacuzzi </v>
      </c>
      <c r="FE19" t="str">
        <v xml:space="preserve">Royale Luxury Jacuzzi </v>
      </c>
      <c r="FF19" t="str">
        <v xml:space="preserve">Royale Luxury Jacuzzi </v>
      </c>
      <c r="FG19" t="str">
        <v xml:space="preserve">Royale Luxury Jacuzzi </v>
      </c>
      <c r="FH19" t="str">
        <v xml:space="preserve">Royale Luxury Jacuzzi </v>
      </c>
      <c r="FI19" t="str">
        <v xml:space="preserve">Royale Luxury Jacuzzi </v>
      </c>
      <c r="FJ19" t="str">
        <v xml:space="preserve">Royale Luxury Jacuzzi </v>
      </c>
      <c r="FZ19" t="str">
        <v>Extra Adult passenger</v>
      </c>
      <c r="GA19" t="str">
        <v>Extra Adult passenger</v>
      </c>
      <c r="GB19" t="str">
        <v>Extra Adult passenger</v>
      </c>
      <c r="GC19" t="str">
        <v>Extra Adult passenger</v>
      </c>
      <c r="GD19" t="str">
        <v>Extra Adult passenger</v>
      </c>
      <c r="GE19" t="str">
        <v>Extra Adult passenger</v>
      </c>
      <c r="GF19" t="str">
        <v>Extra Adult passenger</v>
      </c>
      <c r="GG19" t="str">
        <v>Extra Adult passenger</v>
      </c>
      <c r="GH19" t="str">
        <v>Extra Adult passenger</v>
      </c>
    </row>
    <row r="20" spans="1:195" x14ac:dyDescent="0.25">
      <c r="A20" t="str">
        <f>IF(B19="","",_xlfn.XLOOKUP(B20,'Raw'!C:C,'Raw'!B:B))</f>
        <v xml:space="preserve">Thekkady </v>
      </c>
      <c r="B20" t="str">
        <v>KL8</v>
      </c>
      <c r="C20" t="str">
        <f>IF(B20="","",VLOOKUP(B20,RAW[[Hotel Code]:[Hotel / Resort Name ]],2,0))</f>
        <v>The Elephant Court</v>
      </c>
      <c r="W20" t="str">
        <v>Grand Family Suite</v>
      </c>
      <c r="X20" t="str">
        <v>Grand Family Suite</v>
      </c>
      <c r="Y20" t="str">
        <v>Grand Family Suite</v>
      </c>
      <c r="Z20" t="str">
        <v>Grand Family Suite</v>
      </c>
      <c r="AA20" t="str">
        <v>Grand Family Suite</v>
      </c>
      <c r="AB20" t="str">
        <v>Grand Family Suite</v>
      </c>
      <c r="AC20" t="str">
        <v>Grand Family Suite</v>
      </c>
      <c r="AD20" t="str">
        <v>Grand Family Suite</v>
      </c>
      <c r="AE20" t="str">
        <v>Grand Family Suite</v>
      </c>
      <c r="AF20" t="str">
        <v>Grand Family Suite</v>
      </c>
      <c r="AG20" t="str">
        <v>Grand Family Suite</v>
      </c>
      <c r="AJ20" t="str">
        <v xml:space="preserve">Child with bed </v>
      </c>
      <c r="AK20" t="str">
        <v xml:space="preserve">Child with bed </v>
      </c>
      <c r="AL20" t="str">
        <v xml:space="preserve">Child with bed </v>
      </c>
      <c r="AM20" t="str">
        <v xml:space="preserve">Child with bed </v>
      </c>
      <c r="AN20" t="str">
        <v xml:space="preserve">Child with bed </v>
      </c>
      <c r="AO20" t="str">
        <v xml:space="preserve">Child with bed </v>
      </c>
      <c r="AP20" t="str">
        <v xml:space="preserve">Child with bed </v>
      </c>
      <c r="AQ20" t="str">
        <v xml:space="preserve">Child with bed </v>
      </c>
      <c r="AR20" t="str">
        <v xml:space="preserve">Child with bed </v>
      </c>
      <c r="AS20" t="str">
        <v>Child without bed</v>
      </c>
      <c r="AT20" t="str">
        <v>Child without bed</v>
      </c>
      <c r="AU20" t="str">
        <v>Child without bed</v>
      </c>
      <c r="AV20" t="str">
        <v>Child without bed</v>
      </c>
      <c r="AW20" t="str">
        <v>Child without bed</v>
      </c>
      <c r="AX20" t="str">
        <v>Child without bed</v>
      </c>
      <c r="AY20" t="str">
        <v>Child without bed</v>
      </c>
      <c r="AZ20" t="str">
        <v>Child without bed</v>
      </c>
      <c r="CI20" t="str">
        <v xml:space="preserve">Child with bed </v>
      </c>
      <c r="CJ20" t="str">
        <v xml:space="preserve">Child with bed </v>
      </c>
      <c r="CK20" t="str">
        <v xml:space="preserve">Child with bed </v>
      </c>
      <c r="CL20" t="str">
        <v xml:space="preserve">Child with bed </v>
      </c>
      <c r="CM20" t="str">
        <v xml:space="preserve">Child with bed </v>
      </c>
      <c r="CN20" t="str">
        <v xml:space="preserve">Child with bed </v>
      </c>
      <c r="CO20" t="str">
        <v xml:space="preserve">Child with bed </v>
      </c>
      <c r="CP20" t="str">
        <v xml:space="preserve">Child with bed </v>
      </c>
      <c r="CQ20" t="str">
        <v xml:space="preserve">Child with bed </v>
      </c>
      <c r="CS20" t="str">
        <v>Child without bed</v>
      </c>
      <c r="CT20" t="str">
        <v>Child without bed</v>
      </c>
      <c r="CU20" t="str">
        <v>Child without bed</v>
      </c>
      <c r="CV20" t="str">
        <v>Child without bed</v>
      </c>
      <c r="CW20" t="str">
        <v>Child without bed</v>
      </c>
      <c r="CX20" t="str">
        <v>Child without bed</v>
      </c>
      <c r="CY20" t="str">
        <v>Child without bed</v>
      </c>
      <c r="CZ20" t="str">
        <v>Child without bed</v>
      </c>
      <c r="DC20" t="str">
        <v xml:space="preserve">Child with bed </v>
      </c>
      <c r="DD20" t="str">
        <v xml:space="preserve">Child with bed </v>
      </c>
      <c r="DE20" t="str">
        <v xml:space="preserve">Child with bed </v>
      </c>
      <c r="DF20" t="str">
        <v xml:space="preserve">Child with bed </v>
      </c>
      <c r="DG20" t="str">
        <v xml:space="preserve">Child with bed </v>
      </c>
      <c r="DH20" t="str">
        <v xml:space="preserve">Child with bed </v>
      </c>
      <c r="DZ20" t="str">
        <v>Child without bed</v>
      </c>
      <c r="EA20" t="str">
        <v>Child without bed</v>
      </c>
      <c r="EB20" t="str">
        <v>Child without bed</v>
      </c>
      <c r="EC20" t="str">
        <v>Child without bed</v>
      </c>
      <c r="ED20" t="str">
        <v>Child without bed</v>
      </c>
      <c r="EE20" t="str">
        <v>Child without bed</v>
      </c>
      <c r="EF20" t="str">
        <v>Child without bed</v>
      </c>
      <c r="EG20" t="str">
        <v>Child without bed</v>
      </c>
      <c r="EJ20" t="str">
        <v xml:space="preserve">Child with bed </v>
      </c>
      <c r="EK20" t="str">
        <v xml:space="preserve">Child with bed </v>
      </c>
      <c r="EL20" t="str">
        <v xml:space="preserve">Child with bed </v>
      </c>
      <c r="EO20" t="str">
        <v xml:space="preserve">Child with bed </v>
      </c>
      <c r="EP20" t="str">
        <v xml:space="preserve">Child with bed </v>
      </c>
      <c r="EQ20" t="str">
        <v xml:space="preserve">Child with bed </v>
      </c>
      <c r="ER20" t="str">
        <v xml:space="preserve">Child with bed </v>
      </c>
      <c r="ES20" t="str">
        <v xml:space="preserve">Child with bed </v>
      </c>
      <c r="ET20" t="str">
        <v xml:space="preserve">Child with bed </v>
      </c>
      <c r="EU20" t="str">
        <v xml:space="preserve">Child with bed </v>
      </c>
      <c r="EV20" t="str">
        <v xml:space="preserve">Child with bed </v>
      </c>
      <c r="EW20" t="str">
        <v xml:space="preserve">Child with bed </v>
      </c>
      <c r="FA20" t="str">
        <v>Extra Adult passenger</v>
      </c>
      <c r="FB20" t="str">
        <v>Extra Adult passenger</v>
      </c>
      <c r="FC20" t="str">
        <v>Extra Adult passenger</v>
      </c>
      <c r="FD20" t="str">
        <v>Extra Adult passenger</v>
      </c>
      <c r="FE20" t="str">
        <v>Extra Adult passenger</v>
      </c>
      <c r="FF20" t="str">
        <v>Extra Adult passenger</v>
      </c>
      <c r="FG20" t="str">
        <v>Extra Adult passenger</v>
      </c>
      <c r="FH20" t="str">
        <v>Extra Adult passenger</v>
      </c>
      <c r="FI20" t="str">
        <v>Extra Adult passenger</v>
      </c>
      <c r="FJ20" t="str">
        <v>Extra Adult passenger</v>
      </c>
      <c r="FZ20" t="str">
        <v xml:space="preserve">Child with bed </v>
      </c>
      <c r="GA20" t="str">
        <v xml:space="preserve">Child with bed </v>
      </c>
      <c r="GB20" t="str">
        <v xml:space="preserve">Child with bed </v>
      </c>
      <c r="GC20" t="str">
        <v xml:space="preserve">Child with bed </v>
      </c>
      <c r="GD20" t="str">
        <v xml:space="preserve">Child with bed </v>
      </c>
      <c r="GE20" t="str">
        <v xml:space="preserve">Child with bed </v>
      </c>
      <c r="GF20" t="str">
        <v xml:space="preserve">Child with bed </v>
      </c>
      <c r="GG20" t="str">
        <v xml:space="preserve">Child with bed </v>
      </c>
      <c r="GH20" t="str">
        <v xml:space="preserve">Child with bed </v>
      </c>
    </row>
    <row r="21" spans="1:195" x14ac:dyDescent="0.25">
      <c r="A21" t="str">
        <f>IF(B20="","",_xlfn.XLOOKUP(B21,'Raw'!C:C,'Raw'!B:B))</f>
        <v xml:space="preserve">Thekkady </v>
      </c>
      <c r="B21" t="str">
        <v>KL9</v>
      </c>
      <c r="C21" t="str">
        <f>IF(B21="","",VLOOKUP(B21,RAW[[Hotel Code]:[Hotel / Resort Name ]],2,0))</f>
        <v>Peppervine</v>
      </c>
      <c r="W21" t="str">
        <v>Extra Adult passenger</v>
      </c>
      <c r="X21" t="str">
        <v>Extra Adult passenger</v>
      </c>
      <c r="Y21" t="str">
        <v>Extra Adult passenger</v>
      </c>
      <c r="Z21" t="str">
        <v>Extra Adult passenger</v>
      </c>
      <c r="AA21" t="str">
        <v>Extra Adult passenger</v>
      </c>
      <c r="AB21" t="str">
        <v>Extra Adult passenger</v>
      </c>
      <c r="AC21" t="str">
        <v>Extra Adult passenger</v>
      </c>
      <c r="AD21" t="str">
        <v>Extra Adult passenger</v>
      </c>
      <c r="AE21" t="str">
        <v>Extra Adult passenger</v>
      </c>
      <c r="AF21" t="str">
        <v>Extra Adult passenger</v>
      </c>
      <c r="AG21" t="str">
        <v>Extra Adult passenger</v>
      </c>
      <c r="AJ21" t="str">
        <v>Child without bed</v>
      </c>
      <c r="AK21" t="str">
        <v>Child without bed</v>
      </c>
      <c r="AL21" t="str">
        <v>Child without bed</v>
      </c>
      <c r="AM21" t="str">
        <v>Child without bed</v>
      </c>
      <c r="AN21" t="str">
        <v>Child without bed</v>
      </c>
      <c r="AO21" t="str">
        <v>Child without bed</v>
      </c>
      <c r="AP21" t="str">
        <v>Child without bed</v>
      </c>
      <c r="AQ21" t="str">
        <v>Child without bed</v>
      </c>
      <c r="AR21" t="str">
        <v>Child without bed</v>
      </c>
      <c r="CI21" t="str">
        <v>Child without bed</v>
      </c>
      <c r="CJ21" t="str">
        <v>Child without bed</v>
      </c>
      <c r="CK21" t="str">
        <v>Child without bed</v>
      </c>
      <c r="CL21" t="str">
        <v>Child without bed</v>
      </c>
      <c r="CM21" t="str">
        <v>Child without bed</v>
      </c>
      <c r="CN21" t="str">
        <v>Child without bed</v>
      </c>
      <c r="CO21" t="str">
        <v>Child without bed</v>
      </c>
      <c r="CP21" t="str">
        <v>Child without bed</v>
      </c>
      <c r="CQ21" t="str">
        <v>Child without bed</v>
      </c>
      <c r="DC21" t="str">
        <v>Child without bed</v>
      </c>
      <c r="DD21" t="str">
        <v>Child without bed</v>
      </c>
      <c r="DE21" t="str">
        <v>Child without bed</v>
      </c>
      <c r="DF21" t="str">
        <v>Child without bed</v>
      </c>
      <c r="DG21" t="str">
        <v>Child without bed</v>
      </c>
      <c r="DH21" t="str">
        <v>Child without bed</v>
      </c>
      <c r="EJ21" t="str">
        <v>Child without bed</v>
      </c>
      <c r="EK21" t="str">
        <v>Child without bed</v>
      </c>
      <c r="EL21" t="str">
        <v>Child without bed</v>
      </c>
      <c r="EO21" t="str">
        <v>Child without bed</v>
      </c>
      <c r="EP21" t="str">
        <v>Child without bed</v>
      </c>
      <c r="EQ21" t="str">
        <v>Child without bed</v>
      </c>
      <c r="ER21" t="str">
        <v>Child without bed</v>
      </c>
      <c r="ES21" t="str">
        <v>Child without bed</v>
      </c>
      <c r="ET21" t="str">
        <v>Child without bed</v>
      </c>
      <c r="EU21" t="str">
        <v>Child without bed</v>
      </c>
      <c r="EV21" t="str">
        <v>Child without bed</v>
      </c>
      <c r="EW21" t="str">
        <v>Child without bed</v>
      </c>
      <c r="FA21" t="str">
        <v xml:space="preserve">Child with bed </v>
      </c>
      <c r="FB21" t="str">
        <v xml:space="preserve">Child with bed </v>
      </c>
      <c r="FC21" t="str">
        <v xml:space="preserve">Child with bed </v>
      </c>
      <c r="FD21" t="str">
        <v xml:space="preserve">Child with bed </v>
      </c>
      <c r="FE21" t="str">
        <v xml:space="preserve">Child with bed </v>
      </c>
      <c r="FF21" t="str">
        <v xml:space="preserve">Child with bed </v>
      </c>
      <c r="FG21" t="str">
        <v xml:space="preserve">Child with bed </v>
      </c>
      <c r="FH21" t="str">
        <v xml:space="preserve">Child with bed </v>
      </c>
      <c r="FI21" t="str">
        <v xml:space="preserve">Child with bed </v>
      </c>
      <c r="FJ21" t="str">
        <v xml:space="preserve">Child with bed </v>
      </c>
      <c r="FZ21" t="str">
        <v>Child without bed</v>
      </c>
      <c r="GA21" t="str">
        <v>Child without bed</v>
      </c>
      <c r="GB21" t="str">
        <v>Child without bed</v>
      </c>
      <c r="GC21" t="str">
        <v>Child without bed</v>
      </c>
      <c r="GD21" t="str">
        <v>Child without bed</v>
      </c>
      <c r="GE21" t="str">
        <v>Child without bed</v>
      </c>
      <c r="GF21" t="str">
        <v>Child without bed</v>
      </c>
      <c r="GG21" t="str">
        <v>Child without bed</v>
      </c>
      <c r="GH21" t="str">
        <v>Child without bed</v>
      </c>
    </row>
    <row r="22" spans="1:195" x14ac:dyDescent="0.25">
      <c r="A22" t="str">
        <f>IF(B21="","",_xlfn.XLOOKUP(B22,'Raw'!C:C,'Raw'!B:B))</f>
        <v xml:space="preserve">Thekkady </v>
      </c>
      <c r="B22" t="str">
        <v>KL10</v>
      </c>
      <c r="C22" t="str">
        <f>IF(B22="","",VLOOKUP(B22,RAW[[Hotel Code]:[Hotel / Resort Name ]],2,0))</f>
        <v>Peppervine</v>
      </c>
      <c r="W22" t="str">
        <v>Child with bed</v>
      </c>
      <c r="X22" t="str">
        <v>Child with bed</v>
      </c>
      <c r="Y22" t="str">
        <v>Child with bed</v>
      </c>
      <c r="Z22" t="str">
        <v>Child with bed</v>
      </c>
      <c r="AA22" t="str">
        <v>Child with bed</v>
      </c>
      <c r="AB22" t="str">
        <v>Child with bed</v>
      </c>
      <c r="AC22" t="str">
        <v>Child with bed</v>
      </c>
      <c r="AD22" t="str">
        <v>Child with bed</v>
      </c>
      <c r="AE22" t="str">
        <v>Child with bed</v>
      </c>
      <c r="AF22" t="str">
        <v>Child with bed</v>
      </c>
      <c r="AG22" t="str">
        <v>Child with bed</v>
      </c>
      <c r="FA22" t="str">
        <v>Child without bed</v>
      </c>
      <c r="FB22" t="str">
        <v>Child without bed</v>
      </c>
      <c r="FC22" t="str">
        <v>Child without bed</v>
      </c>
      <c r="FD22" t="str">
        <v>Child without bed</v>
      </c>
      <c r="FE22" t="str">
        <v>Child without bed</v>
      </c>
      <c r="FF22" t="str">
        <v>Child without bed</v>
      </c>
      <c r="FG22" t="str">
        <v>Child without bed</v>
      </c>
      <c r="FH22" t="str">
        <v>Child without bed</v>
      </c>
      <c r="FI22" t="str">
        <v>Child without bed</v>
      </c>
      <c r="FJ22" t="str">
        <v>Child without bed</v>
      </c>
    </row>
    <row r="23" spans="1:195" x14ac:dyDescent="0.25">
      <c r="A23" t="str">
        <f>IF(B22="","",_xlfn.XLOOKUP(B23,'Raw'!C:C,'Raw'!B:B))</f>
        <v xml:space="preserve">Thekkady </v>
      </c>
      <c r="B23" t="str">
        <v>KL11</v>
      </c>
      <c r="C23" t="str">
        <f>IF(B23="","",VLOOKUP(B23,RAW[[Hotel Code]:[Hotel / Resort Name ]],2,0))</f>
        <v>Peppervine</v>
      </c>
      <c r="H23" t="str" cm="1">
        <f t="array" ref="H23:O23">TRANSPOSE($B$2:$B$9)</f>
        <v>Alleppey</v>
      </c>
      <c r="I23" t="str">
        <v xml:space="preserve">Thekkady </v>
      </c>
      <c r="J23" t="str">
        <v>Kovalam</v>
      </c>
      <c r="K23" t="str">
        <v>Thiruvananthapuram</v>
      </c>
      <c r="L23" t="str">
        <v>Munnar</v>
      </c>
      <c r="M23" t="str">
        <v>Varkala</v>
      </c>
      <c r="N23" t="str">
        <v>Kochi</v>
      </c>
      <c r="O23">
        <v>0</v>
      </c>
      <c r="W23" t="str">
        <v>Child without bed</v>
      </c>
      <c r="X23" t="str">
        <v>Child without bed</v>
      </c>
      <c r="Y23" t="str">
        <v>Child without bed</v>
      </c>
      <c r="Z23" t="str">
        <v>Child without bed</v>
      </c>
      <c r="AA23" t="str">
        <v>Child without bed</v>
      </c>
      <c r="AB23" t="str">
        <v>Child without bed</v>
      </c>
      <c r="AC23" t="str">
        <v>Child without bed</v>
      </c>
      <c r="AD23" t="str">
        <v>Child without bed</v>
      </c>
      <c r="AE23" t="str">
        <v>Child without bed</v>
      </c>
      <c r="AF23" t="str">
        <v>Child without bed</v>
      </c>
      <c r="AG23" t="str">
        <v>Child without bed</v>
      </c>
    </row>
    <row r="24" spans="1:195" x14ac:dyDescent="0.25">
      <c r="A24" t="str">
        <f>IF(B23="","",_xlfn.XLOOKUP(B24,'Raw'!C:C,'Raw'!B:B))</f>
        <v xml:space="preserve">Thekkady </v>
      </c>
      <c r="B24" t="str">
        <v>KL12</v>
      </c>
      <c r="C24" t="str">
        <f>IF(B24="","",VLOOKUP(B24,RAW[[Hotel Code]:[Hotel / Resort Name ]],2,0))</f>
        <v>Peppervine</v>
      </c>
      <c r="H24" t="str" cm="1">
        <f t="array" ref="H24:H69">IF(H$23=0,"",_xlfn._xlws.FILTER(RAW[[#All],[Hotel / Resort Name ]],RAW[[#All],[Destination ]]=Sheet2!H$23))</f>
        <v>Venice Iva Residency</v>
      </c>
      <c r="I24" t="str" cm="1">
        <f t="array" ref="I24:I53">IF(I$23=0,"",_xlfn._xlws.FILTER(RAW[[#All],[Hotel / Resort Name ]],RAW[[#All],[Destination ]]=Sheet2!I$23))</f>
        <v>The Elephant Court</v>
      </c>
      <c r="J24" t="str" cm="1">
        <f t="array" ref="J24:J69">IF(J$23=0,"",_xlfn._xlws.FILTER(RAW[[#All],[Hotel / Resort Name ]],RAW[[#All],[Destination ]]=Sheet2!J$23))</f>
        <v>Uday Samudra Beach Hotel</v>
      </c>
      <c r="K24" t="str" cm="1">
        <f t="array" ref="K24:K31">IF(K$23=0,"",_xlfn._xlws.FILTER(RAW[[#All],[Hotel / Resort Name ]],RAW[[#All],[Destination ]]=Sheet2!K$23))</f>
        <v>Uday Suites, The Airport Hotel</v>
      </c>
      <c r="L24" t="str" cm="1">
        <f t="array" ref="L24:L56">IF(L$23=0,"",_xlfn._xlws.FILTER(RAW[[#All],[Hotel / Resort Name ]],RAW[[#All],[Destination ]]=Sheet2!L$23))</f>
        <v xml:space="preserve">Tea castle resort </v>
      </c>
      <c r="M24" t="str" cm="1">
        <f t="array" ref="M24:M30">IF(M$23=0,"",_xlfn._xlws.FILTER(RAW[[#All],[Hotel / Resort Name ]],RAW[[#All],[Destination ]]=Sheet2!M$23))</f>
        <v>Sunview Beach Resort &amp; Spa by Citrine</v>
      </c>
      <c r="N24" t="str" cm="1">
        <f t="array" ref="N24:N41">IF(N$23=0,"",_xlfn._xlws.FILTER(RAW[[#All],[Hotel / Resort Name ]],RAW[[#All],[Destination ]]=Sheet2!N$23))</f>
        <v>Broad Bean Hotel</v>
      </c>
      <c r="O24" t="str" cm="1">
        <f t="array" ref="O24">IF(O$23=0,"",_xlfn._xlws.FILTER(RAW[[#All],[Hotel / Resort Name ]],RAW[[#All],[Destination ]]=Sheet2!O$23))</f>
        <v/>
      </c>
      <c r="P24" t="str" cm="1">
        <f t="array" ref="P24">IF(P$23=0,"",_xlfn._xlws.FILTER(RAW[[#All],[Hotel / Resort Name ]],RAW[[#All],[Destination ]]=Sheet2!P$23))</f>
        <v/>
      </c>
      <c r="Q24" t="str" cm="1">
        <f t="array" ref="Q24">IF(Q$23=0,"",_xlfn._xlws.FILTER(RAW[[#All],[Hotel / Resort Name ]],RAW[[#All],[Destination ]]=Sheet2!Q$23))</f>
        <v/>
      </c>
      <c r="R24" t="str" cm="1">
        <f t="array" ref="R24">IF(R$23=0,"",_xlfn._xlws.FILTER(RAW[[#All],[Hotel / Resort Name ]],RAW[[#All],[Destination ]]=Sheet2!R$23))</f>
        <v/>
      </c>
      <c r="S24" t="str" cm="1">
        <f t="array" ref="S24">IF(S$23=0,"",_xlfn._xlws.FILTER(RAW[[#All],[Hotel / Resort Name ]],RAW[[#All],[Destination ]]=Sheet2!S$23))</f>
        <v/>
      </c>
      <c r="T24" t="str" cm="1">
        <f t="array" ref="T24">IF(T$23=0,"",_xlfn._xlws.FILTER(RAW[[#All],[Hotel / Resort Name ]],RAW[[#All],[Destination ]]=Sheet2!T$23))</f>
        <v/>
      </c>
      <c r="U24" t="str" cm="1">
        <f t="array" ref="U24">IF(U$23=0,"",_xlfn._xlws.FILTER(RAW[[#All],[Hotel / Resort Name ]],RAW[[#All],[Destination ]]=Sheet2!U$23))</f>
        <v/>
      </c>
      <c r="V24" t="str" cm="1">
        <f t="array" ref="V24">IF(V$23=0,"",_xlfn._xlws.FILTER(RAW[[#All],[Hotel / Resort Name ]],RAW[[#All],[Destination ]]=Sheet2!V$23))</f>
        <v/>
      </c>
      <c r="W24" t="e" cm="1" vm="1">
        <f t="array" ref="W24">IF(W$23=0,"",_xlfn._xlws.FILTER(RAW[[#All],[Hotel / Resort Name ]],RAW[[#All],[Destination ]]=Sheet2!W$23))</f>
        <v>#VALUE!</v>
      </c>
      <c r="X24" t="e" cm="1" vm="1">
        <f t="array" ref="X24">IF(X$23=0,"",_xlfn._xlws.FILTER(RAW[[#All],[Hotel / Resort Name ]],RAW[[#All],[Destination ]]=Sheet2!X$23))</f>
        <v>#VALUE!</v>
      </c>
      <c r="Y24" t="e" cm="1" vm="1">
        <f t="array" ref="Y24">IF(Y$23=0,"",_xlfn._xlws.FILTER(RAW[[#All],[Hotel / Resort Name ]],RAW[[#All],[Destination ]]=Sheet2!Y$23))</f>
        <v>#VALUE!</v>
      </c>
      <c r="Z24" t="e" cm="1" vm="1">
        <f t="array" ref="Z24">IF(Z$23=0,"",_xlfn._xlws.FILTER(RAW[[#All],[Hotel / Resort Name ]],RAW[[#All],[Destination ]]=Sheet2!Z$23))</f>
        <v>#VALUE!</v>
      </c>
    </row>
    <row r="25" spans="1:195" x14ac:dyDescent="0.25">
      <c r="A25" t="str">
        <f>IF(B24="","",_xlfn.XLOOKUP(B25,'Raw'!C:C,'Raw'!B:B))</f>
        <v xml:space="preserve">Thekkady </v>
      </c>
      <c r="B25" t="str">
        <v>KL13</v>
      </c>
      <c r="C25" t="str">
        <f>IF(B25="","",VLOOKUP(B25,RAW[[Hotel Code]:[Hotel / Resort Name ]],2,0))</f>
        <v>Peppervine</v>
      </c>
      <c r="H25" t="str">
        <v>Uday Backwater Resort</v>
      </c>
      <c r="I25" t="str">
        <v>The Elephant Court</v>
      </c>
      <c r="J25" t="str">
        <v>Uday Samudra Leisure Beach Hotel</v>
      </c>
      <c r="K25" t="str">
        <v>Uday Suites, The Airport Hotel</v>
      </c>
      <c r="L25" t="str">
        <v xml:space="preserve">Tea castle resort </v>
      </c>
      <c r="M25" t="str">
        <v>Sunview Beach Resort &amp; Spa by Citrine</v>
      </c>
      <c r="N25" t="str">
        <v>Broad Bean Hotel</v>
      </c>
    </row>
    <row r="26" spans="1:195" x14ac:dyDescent="0.25">
      <c r="A26" t="str">
        <f>IF(B25="","",_xlfn.XLOOKUP(B26,'Raw'!C:C,'Raw'!B:B))</f>
        <v xml:space="preserve">Thekkady </v>
      </c>
      <c r="B26" t="str">
        <v>KL14</v>
      </c>
      <c r="C26" t="str">
        <f>IF(B26="","",VLOOKUP(B26,RAW[[Hotel Code]:[Hotel / Resort Name ]],2,0))</f>
        <v>Peppervine</v>
      </c>
      <c r="H26" t="str">
        <v>Uday Backwater Resort</v>
      </c>
      <c r="I26" t="str">
        <v>The Elephant Court</v>
      </c>
      <c r="J26" t="str">
        <v>Uday Samudra Leisure Beach Hotel</v>
      </c>
      <c r="K26" t="str">
        <v>Uday Suites, The Airport Hotel</v>
      </c>
      <c r="L26" t="str">
        <v xml:space="preserve">Tea castle resort </v>
      </c>
      <c r="M26" t="str">
        <v>Sunview Beach Resort &amp; Spa by Citrine</v>
      </c>
      <c r="N26" t="str">
        <v>Broad Bean Hotel</v>
      </c>
    </row>
    <row r="27" spans="1:195" x14ac:dyDescent="0.25">
      <c r="A27" t="str">
        <f>IF(B26="","",_xlfn.XLOOKUP(B27,'Raw'!C:C,'Raw'!B:B))</f>
        <v>Kovalam</v>
      </c>
      <c r="B27" t="str">
        <v>KL15</v>
      </c>
      <c r="C27" t="str">
        <f>IF(B27="","",VLOOKUP(B27,RAW[[Hotel Code]:[Hotel / Resort Name ]],2,0))</f>
        <v>Uday Samudra Beach Hotel</v>
      </c>
      <c r="H27" t="str">
        <v>Uday Backwater Resort</v>
      </c>
      <c r="I27" t="str">
        <v>The Elephant Court</v>
      </c>
      <c r="J27" t="str">
        <v>Uday Samudra Leisure Beach Hotel</v>
      </c>
      <c r="K27" t="str">
        <v>Uday Suites, The Airport Hotel</v>
      </c>
      <c r="L27" t="str">
        <v xml:space="preserve">Tea castle resort </v>
      </c>
      <c r="M27" t="str">
        <v>Sunview Beach Resort &amp; Spa by Citrine</v>
      </c>
      <c r="N27" t="str">
        <v>Broad Bean Hotel</v>
      </c>
    </row>
    <row r="28" spans="1:195" x14ac:dyDescent="0.25">
      <c r="A28" t="str">
        <f>IF(B27="","",_xlfn.XLOOKUP(B28,'Raw'!C:C,'Raw'!B:B))</f>
        <v>Kovalam</v>
      </c>
      <c r="B28" t="str">
        <v>KL16</v>
      </c>
      <c r="C28" t="str">
        <f>IF(B28="","",VLOOKUP(B28,RAW[[Hotel Code]:[Hotel / Resort Name ]],2,0))</f>
        <v>Uday Samudra Leisure Beach Hotel</v>
      </c>
      <c r="H28" t="str">
        <v>Uday Backwater Resort</v>
      </c>
      <c r="I28" t="str">
        <v>The Elephant Court</v>
      </c>
      <c r="J28" t="str">
        <v>Uday Samudra Leisure Beach Hotel</v>
      </c>
      <c r="K28" t="str">
        <v>Uday Suites, The Airport Hotel</v>
      </c>
      <c r="L28" t="str">
        <v xml:space="preserve">Tea castle resort </v>
      </c>
      <c r="M28" t="str">
        <v>Sunview Beach Resort &amp; Spa by Citrine</v>
      </c>
      <c r="N28" t="str">
        <v>Broad Bean Hotel</v>
      </c>
    </row>
    <row r="29" spans="1:195" x14ac:dyDescent="0.25">
      <c r="A29" t="str">
        <f>IF(B28="","",_xlfn.XLOOKUP(B29,'Raw'!C:C,'Raw'!B:B))</f>
        <v>Kovalam</v>
      </c>
      <c r="B29" t="str">
        <v>KL17</v>
      </c>
      <c r="C29" t="str">
        <f>IF(B29="","",VLOOKUP(B29,RAW[[Hotel Code]:[Hotel / Resort Name ]],2,0))</f>
        <v>Uday Samudra Leisure Beach Hotel</v>
      </c>
      <c r="H29" t="str">
        <v>Uday Backwater Resort</v>
      </c>
      <c r="I29" t="str">
        <v>The Elephant Court</v>
      </c>
      <c r="J29" t="str">
        <v>Uday Samudra Leisure Beach Hotel</v>
      </c>
      <c r="K29" t="str">
        <v>Uday Suites, The Airport Hotel</v>
      </c>
      <c r="L29" t="str">
        <v xml:space="preserve">Tea castle resort </v>
      </c>
      <c r="M29" t="str">
        <v>Sunview Beach Resort &amp; Spa by Citrine</v>
      </c>
      <c r="N29" t="str">
        <v>Broad Bean Hotel</v>
      </c>
    </row>
    <row r="30" spans="1:195" x14ac:dyDescent="0.25">
      <c r="A30" t="str">
        <f>IF(B29="","",_xlfn.XLOOKUP(B30,'Raw'!C:C,'Raw'!B:B))</f>
        <v>Kovalam</v>
      </c>
      <c r="B30" t="str">
        <v>KL18</v>
      </c>
      <c r="C30" t="str">
        <f>IF(B30="","",VLOOKUP(B30,RAW[[Hotel Code]:[Hotel / Resort Name ]],2,0))</f>
        <v>Uday Samudra Leisure Beach Hotel</v>
      </c>
      <c r="H30" t="str">
        <v>Uday Backwater Resort</v>
      </c>
      <c r="I30" t="str">
        <v>The Elephant Court</v>
      </c>
      <c r="J30" t="str">
        <v>Uday Samudra Leisure Beach Hotel</v>
      </c>
      <c r="K30" t="str">
        <v>Uday Suites, The Airport Hotel</v>
      </c>
      <c r="L30" t="str">
        <v xml:space="preserve">The Breeze Resort </v>
      </c>
      <c r="M30" t="str">
        <v>Sunview Beach Resort &amp; Spa by Citrine</v>
      </c>
      <c r="N30" t="str">
        <v>Broad Bean Hotel</v>
      </c>
    </row>
    <row r="31" spans="1:195" x14ac:dyDescent="0.25">
      <c r="A31" t="str">
        <f>IF(B30="","",_xlfn.XLOOKUP(B31,'Raw'!C:C,'Raw'!B:B))</f>
        <v>Kovalam</v>
      </c>
      <c r="B31" t="str">
        <v>KL19</v>
      </c>
      <c r="C31" t="str">
        <f>IF(B31="","",VLOOKUP(B31,RAW[[Hotel Code]:[Hotel / Resort Name ]],2,0))</f>
        <v>Uday Samudra Leisure Beach Hotel</v>
      </c>
      <c r="H31" t="str">
        <v>Uday Backwater Resort</v>
      </c>
      <c r="I31" t="str">
        <v>Peppervine</v>
      </c>
      <c r="J31" t="str">
        <v>Uday Samudra Leisure Beach Hotel</v>
      </c>
      <c r="K31" t="str">
        <v>Uday Suites, The Airport Hotel</v>
      </c>
      <c r="L31" t="str">
        <v xml:space="preserve">The Breeze Resort </v>
      </c>
      <c r="N31" t="str">
        <v>Broad Bean Hotel</v>
      </c>
    </row>
    <row r="32" spans="1:195" x14ac:dyDescent="0.25">
      <c r="A32" t="str">
        <f>IF(B31="","",_xlfn.XLOOKUP(B32,'Raw'!C:C,'Raw'!B:B))</f>
        <v>Kovalam</v>
      </c>
      <c r="B32" t="str">
        <v>KL20</v>
      </c>
      <c r="C32" t="str">
        <f>IF(B32="","",VLOOKUP(B32,RAW[[Hotel Code]:[Hotel / Resort Name ]],2,0))</f>
        <v>Uday Samudra Leisure Beach Hotel</v>
      </c>
      <c r="H32" t="str">
        <v>Uday Backwater Resort</v>
      </c>
      <c r="I32" t="str">
        <v>Peppervine</v>
      </c>
      <c r="J32" t="str">
        <v>Uday Samudra Leisure Beach Hotel</v>
      </c>
      <c r="L32" t="str">
        <v>The Whispering Meadows</v>
      </c>
      <c r="N32" t="str">
        <v>Napier Heritage Fort</v>
      </c>
    </row>
    <row r="33" spans="1:14" x14ac:dyDescent="0.25">
      <c r="A33" t="str">
        <f>IF(B32="","",_xlfn.XLOOKUP(B33,'Raw'!C:C,'Raw'!B:B))</f>
        <v>Kovalam</v>
      </c>
      <c r="B33" t="str">
        <v>KL21</v>
      </c>
      <c r="C33" t="str">
        <f>IF(B33="","",VLOOKUP(B33,RAW[[Hotel Code]:[Hotel / Resort Name ]],2,0))</f>
        <v>Uday Samudra Leisure Beach Hotel</v>
      </c>
      <c r="H33" t="str">
        <v>Uday Backwater Resort</v>
      </c>
      <c r="I33" t="str">
        <v>Peppervine</v>
      </c>
      <c r="J33" t="str">
        <v>Uday Samudra Leisure Beach Hotel</v>
      </c>
      <c r="L33" t="str">
        <v>The Whispering Meadows</v>
      </c>
      <c r="N33" t="str">
        <v>Napier Heritage Fort</v>
      </c>
    </row>
    <row r="34" spans="1:14" x14ac:dyDescent="0.25">
      <c r="A34" t="str">
        <f>IF(B33="","",_xlfn.XLOOKUP(B34,'Raw'!C:C,'Raw'!B:B))</f>
        <v>Kovalam</v>
      </c>
      <c r="B34" t="str">
        <v>KL22</v>
      </c>
      <c r="C34" t="str">
        <f>IF(B34="","",VLOOKUP(B34,RAW[[Hotel Code]:[Hotel / Resort Name ]],2,0))</f>
        <v>Uday Samudra Leisure Beach Hotel</v>
      </c>
      <c r="H34" t="str">
        <v>Venice Iva Residency</v>
      </c>
      <c r="I34" t="str">
        <v>Peppervine</v>
      </c>
      <c r="J34" t="str">
        <v>Uday Samudra Leisure Beach Hotel</v>
      </c>
      <c r="L34" t="str">
        <v>Blossom Hill Resort</v>
      </c>
      <c r="N34" t="str">
        <v>Napier Heritage Fort</v>
      </c>
    </row>
    <row r="35" spans="1:14" x14ac:dyDescent="0.25">
      <c r="A35" t="str">
        <f>IF(B34="","",_xlfn.XLOOKUP(B35,'Raw'!C:C,'Raw'!B:B))</f>
        <v>Kovalam</v>
      </c>
      <c r="B35" t="str">
        <v>KL23</v>
      </c>
      <c r="C35" t="str">
        <f>IF(B35="","",VLOOKUP(B35,RAW[[Hotel Code]:[Hotel / Resort Name ]],2,0))</f>
        <v>Uday Samudra Leisure Beach Hotel</v>
      </c>
      <c r="H35" t="str">
        <v>Venice Iva Residency</v>
      </c>
      <c r="I35" t="str">
        <v>Peppervine</v>
      </c>
      <c r="J35" t="str">
        <v>Uday Samudra Leisure Beach Hotel</v>
      </c>
      <c r="L35" t="str">
        <v>Blossom Hill Resort</v>
      </c>
      <c r="N35" t="str">
        <v>Napier Heritage Fort</v>
      </c>
    </row>
    <row r="36" spans="1:14" x14ac:dyDescent="0.25">
      <c r="A36" t="str">
        <f>IF(B35="","",_xlfn.XLOOKUP(B36,'Raw'!C:C,'Raw'!B:B))</f>
        <v>Kovalam</v>
      </c>
      <c r="B36" t="str">
        <v>KL24</v>
      </c>
      <c r="C36" t="str">
        <f>IF(B36="","",VLOOKUP(B36,RAW[[Hotel Code]:[Hotel / Resort Name ]],2,0))</f>
        <v>Uday Samudra Leisure Beach Hotel</v>
      </c>
      <c r="H36" t="str">
        <v>Casino Houseboats</v>
      </c>
      <c r="I36" t="str">
        <v>Peppervine</v>
      </c>
      <c r="J36" t="str">
        <v>The Byke Heritage - Puja Samudra</v>
      </c>
      <c r="L36" t="str">
        <v>Seven Springs Plantation Resort</v>
      </c>
      <c r="N36" t="str">
        <v>Napier Heritage Fort</v>
      </c>
    </row>
    <row r="37" spans="1:14" x14ac:dyDescent="0.25">
      <c r="A37" t="str">
        <f>IF(B36="","",_xlfn.XLOOKUP(B37,'Raw'!C:C,'Raw'!B:B))</f>
        <v>Kovalam</v>
      </c>
      <c r="B37" t="str">
        <v>KL25</v>
      </c>
      <c r="C37" t="str">
        <f>IF(B37="","",VLOOKUP(B37,RAW[[Hotel Code]:[Hotel / Resort Name ]],2,0))</f>
        <v>Uday Samudra Leisure Beach Hotel</v>
      </c>
      <c r="H37" t="str">
        <v>Casino Houseboats</v>
      </c>
      <c r="I37" t="str">
        <v xml:space="preserve">Pagoda Plantation Resort  </v>
      </c>
      <c r="J37" t="str">
        <v>The Byke Heritage - Puja Samudra</v>
      </c>
      <c r="L37" t="str">
        <v>Seven Springs Plantation Resort</v>
      </c>
      <c r="N37" t="str">
        <v>Napier Heritage Fort</v>
      </c>
    </row>
    <row r="38" spans="1:14" x14ac:dyDescent="0.25">
      <c r="A38" t="str">
        <f>IF(B37="","",_xlfn.XLOOKUP(B38,'Raw'!C:C,'Raw'!B:B))</f>
        <v>Kovalam</v>
      </c>
      <c r="B38" t="str">
        <v>KL26</v>
      </c>
      <c r="C38" t="str">
        <f>IF(B38="","",VLOOKUP(B38,RAW[[Hotel Code]:[Hotel / Resort Name ]],2,0))</f>
        <v>Uday Samudra Leisure Beach Hotel</v>
      </c>
      <c r="H38" t="str">
        <v xml:space="preserve">Haveli Backwater Resort </v>
      </c>
      <c r="I38" t="str">
        <v xml:space="preserve">Pagoda Plantation Resort  </v>
      </c>
      <c r="J38" t="str">
        <v>Jeevan Beach Resort</v>
      </c>
      <c r="L38" t="str">
        <v>Seven Springs Plantation Resort</v>
      </c>
      <c r="N38" t="str">
        <v>Napier Heritage Fort</v>
      </c>
    </row>
    <row r="39" spans="1:14" x14ac:dyDescent="0.25">
      <c r="A39" t="str">
        <f>IF(B38="","",_xlfn.XLOOKUP(B39,'Raw'!C:C,'Raw'!B:B))</f>
        <v>Kovalam</v>
      </c>
      <c r="B39" t="str">
        <v>KL27</v>
      </c>
      <c r="C39" t="str">
        <f>IF(B39="","",VLOOKUP(B39,RAW[[Hotel Code]:[Hotel / Resort Name ]],2,0))</f>
        <v>The Byke Heritage - Puja Samudra</v>
      </c>
      <c r="H39" t="str">
        <v xml:space="preserve">Haveli Backwater Resort </v>
      </c>
      <c r="I39" t="str">
        <v xml:space="preserve">Pagoda Plantation Resort  </v>
      </c>
      <c r="J39" t="str">
        <v>Jeevan Beach Resort</v>
      </c>
      <c r="L39" t="str">
        <v>Seven Springs Plantation Resort</v>
      </c>
      <c r="N39" t="str">
        <v>Napier Heritage Fort</v>
      </c>
    </row>
    <row r="40" spans="1:14" x14ac:dyDescent="0.25">
      <c r="A40" t="str">
        <f>IF(B39="","",_xlfn.XLOOKUP(B40,'Raw'!C:C,'Raw'!B:B))</f>
        <v>Kovalam</v>
      </c>
      <c r="B40" t="str">
        <v>KL28</v>
      </c>
      <c r="C40" t="str">
        <f>IF(B40="","",VLOOKUP(B40,RAW[[Hotel Code]:[Hotel / Resort Name ]],2,0))</f>
        <v>The Byke Heritage - Puja Samudra</v>
      </c>
      <c r="H40" t="str">
        <v xml:space="preserve">Haveli Backwater Resort </v>
      </c>
      <c r="I40" t="str">
        <v xml:space="preserve">Pagoda Plantation Resort  </v>
      </c>
      <c r="J40" t="str">
        <v>Jeevan Beach Resort</v>
      </c>
      <c r="L40" t="str">
        <v>Seven Springs Plantation Resort</v>
      </c>
      <c r="N40" t="str">
        <v>Napier Heritage Fort</v>
      </c>
    </row>
    <row r="41" spans="1:14" x14ac:dyDescent="0.25">
      <c r="A41" t="str">
        <f>IF(B40="","",_xlfn.XLOOKUP(B41,'Raw'!C:C,'Raw'!B:B))</f>
        <v>Alleppey</v>
      </c>
      <c r="B41" t="str">
        <v>KL29</v>
      </c>
      <c r="C41" t="str">
        <f>IF(B41="","",VLOOKUP(B41,RAW[[Hotel Code]:[Hotel / Resort Name ]],2,0))</f>
        <v>Uday Backwater Resort</v>
      </c>
      <c r="H41" t="str">
        <v xml:space="preserve">Haveli Backwater Resort </v>
      </c>
      <c r="I41" t="str">
        <v xml:space="preserve">Pagoda Plantation Resort  </v>
      </c>
      <c r="J41" t="str">
        <v>Jeevan Beach Resort</v>
      </c>
      <c r="L41" t="str">
        <v xml:space="preserve">The Breeze Resort </v>
      </c>
      <c r="N41" t="str">
        <v>Napier Heritage Fort</v>
      </c>
    </row>
    <row r="42" spans="1:14" x14ac:dyDescent="0.25">
      <c r="A42" t="str">
        <f>IF(B41="","",_xlfn.XLOOKUP(B42,'Raw'!C:C,'Raw'!B:B))</f>
        <v>Alleppey</v>
      </c>
      <c r="B42" t="str">
        <v>KL30</v>
      </c>
      <c r="C42" t="str">
        <f>IF(B42="","",VLOOKUP(B42,RAW[[Hotel Code]:[Hotel / Resort Name ]],2,0))</f>
        <v>Uday Backwater Resort</v>
      </c>
      <c r="H42" t="str">
        <v xml:space="preserve">Haveli Backwater Resort </v>
      </c>
      <c r="I42" t="str">
        <v xml:space="preserve">Pagoda Plantation Resort  </v>
      </c>
      <c r="J42" t="str">
        <v>Jeevan Beach Resort</v>
      </c>
      <c r="L42" t="str">
        <v>Blossom Hill Resort</v>
      </c>
    </row>
    <row r="43" spans="1:14" x14ac:dyDescent="0.25">
      <c r="A43" t="str">
        <f>IF(B42="","",_xlfn.XLOOKUP(B43,'Raw'!C:C,'Raw'!B:B))</f>
        <v>Alleppey</v>
      </c>
      <c r="B43" t="str">
        <v>KL31</v>
      </c>
      <c r="C43" t="str">
        <f>IF(B43="","",VLOOKUP(B43,RAW[[Hotel Code]:[Hotel / Resort Name ]],2,0))</f>
        <v>Uday Backwater Resort</v>
      </c>
      <c r="H43" t="str">
        <v xml:space="preserve">Haveli Backwater Resort </v>
      </c>
      <c r="I43" t="str">
        <v xml:space="preserve">Pagoda Plantation Resort  </v>
      </c>
      <c r="J43" t="str">
        <v>Jeevan Beach Resort</v>
      </c>
      <c r="L43" t="str">
        <v>Sprise Munnar Resort &amp; Spa</v>
      </c>
    </row>
    <row r="44" spans="1:14" x14ac:dyDescent="0.25">
      <c r="A44" t="str">
        <f>IF(B43="","",_xlfn.XLOOKUP(B44,'Raw'!C:C,'Raw'!B:B))</f>
        <v>Alleppey</v>
      </c>
      <c r="B44" t="str">
        <v>KL32</v>
      </c>
      <c r="C44" t="str">
        <f>IF(B44="","",VLOOKUP(B44,RAW[[Hotel Code]:[Hotel / Resort Name ]],2,0))</f>
        <v>Uday Backwater Resort</v>
      </c>
      <c r="H44" t="str">
        <v>Pagoda Resorts</v>
      </c>
      <c r="I44" t="str">
        <v xml:space="preserve">Pagoda Plantation Resort  </v>
      </c>
      <c r="J44" t="str">
        <v>Jeevan Beach Resort</v>
      </c>
      <c r="L44" t="str">
        <v>Sprise Munnar Resort &amp; Spa</v>
      </c>
    </row>
    <row r="45" spans="1:14" x14ac:dyDescent="0.25">
      <c r="A45" t="str">
        <f>IF(B44="","",_xlfn.XLOOKUP(B45,'Raw'!C:C,'Raw'!B:B))</f>
        <v>Alleppey</v>
      </c>
      <c r="B45" t="str">
        <v>KL33</v>
      </c>
      <c r="C45" t="str">
        <f>IF(B45="","",VLOOKUP(B45,RAW[[Hotel Code]:[Hotel / Resort Name ]],2,0))</f>
        <v>Uday Backwater Resort</v>
      </c>
      <c r="H45" t="str">
        <v>Pagoda Resorts</v>
      </c>
      <c r="I45" t="str">
        <v xml:space="preserve">Pagoda Plantation Resort  </v>
      </c>
      <c r="J45" t="str">
        <v>Jeevan Beach Resort</v>
      </c>
      <c r="L45" t="str">
        <v>Sprise Munnar Resort &amp; Spa</v>
      </c>
    </row>
    <row r="46" spans="1:14" x14ac:dyDescent="0.25">
      <c r="A46" t="str">
        <f>IF(B45="","",_xlfn.XLOOKUP(B46,'Raw'!C:C,'Raw'!B:B))</f>
        <v>Alleppey</v>
      </c>
      <c r="B46" t="str">
        <v>KL34</v>
      </c>
      <c r="C46" t="str">
        <f>IF(B46="","",VLOOKUP(B46,RAW[[Hotel Code]:[Hotel / Resort Name ]],2,0))</f>
        <v>Uday Backwater Resort</v>
      </c>
      <c r="H46" t="str">
        <v>Pagoda Resorts</v>
      </c>
      <c r="I46" t="str">
        <v>Jungle Park Resort</v>
      </c>
      <c r="J46" t="str">
        <v>Jeevan Beach Resort</v>
      </c>
      <c r="L46" t="str">
        <v>Sprise Munnar Resort &amp; Spa</v>
      </c>
    </row>
    <row r="47" spans="1:14" x14ac:dyDescent="0.25">
      <c r="A47" t="str">
        <f>IF(B46="","",_xlfn.XLOOKUP(B47,'Raw'!C:C,'Raw'!B:B))</f>
        <v>Alleppey</v>
      </c>
      <c r="B47" t="str">
        <v>KL35</v>
      </c>
      <c r="C47" t="str">
        <f>IF(B47="","",VLOOKUP(B47,RAW[[Hotel Code]:[Hotel / Resort Name ]],2,0))</f>
        <v>Uday Backwater Resort</v>
      </c>
      <c r="H47" t="str">
        <v>Pagoda Resorts</v>
      </c>
      <c r="I47" t="str">
        <v>Jungle Park Resort</v>
      </c>
      <c r="J47" t="str">
        <v>Lagoona Beach Resort</v>
      </c>
      <c r="L47" t="str">
        <v>Sprise Munnar Resort &amp; Spa</v>
      </c>
    </row>
    <row r="48" spans="1:14" x14ac:dyDescent="0.25">
      <c r="A48" t="str">
        <f>IF(B47="","",_xlfn.XLOOKUP(B48,'Raw'!C:C,'Raw'!B:B))</f>
        <v>Alleppey</v>
      </c>
      <c r="B48" t="str">
        <v>KL36</v>
      </c>
      <c r="C48" t="str">
        <f>IF(B48="","",VLOOKUP(B48,RAW[[Hotel Code]:[Hotel / Resort Name ]],2,0))</f>
        <v>Uday Backwater Resort</v>
      </c>
      <c r="H48" t="str">
        <v>Pagoda Resorts</v>
      </c>
      <c r="I48" t="str">
        <v>Jungle Park Resort</v>
      </c>
      <c r="J48" t="str">
        <v>Lagoona Beach Resort</v>
      </c>
      <c r="L48" t="str">
        <v>Sprise Munnar Resort &amp; Spa</v>
      </c>
    </row>
    <row r="49" spans="1:12" x14ac:dyDescent="0.25">
      <c r="A49" t="str">
        <f>IF(B48="","",_xlfn.XLOOKUP(B49,'Raw'!C:C,'Raw'!B:B))</f>
        <v>Alleppey</v>
      </c>
      <c r="B49" t="str">
        <v>KL37</v>
      </c>
      <c r="C49" t="str">
        <f>IF(B49="","",VLOOKUP(B49,RAW[[Hotel Code]:[Hotel / Resort Name ]],2,0))</f>
        <v>Uday Backwater Resort</v>
      </c>
      <c r="H49" t="str">
        <v>Pagoda Resorts</v>
      </c>
      <c r="I49" t="str">
        <v>Jungle Park Resort</v>
      </c>
      <c r="J49" t="str">
        <v>Lagoona Beach Resort</v>
      </c>
      <c r="L49" t="str">
        <v>Sprise Munnar Resort &amp; Spa</v>
      </c>
    </row>
    <row r="50" spans="1:12" x14ac:dyDescent="0.25">
      <c r="A50" t="str">
        <f>IF(B49="","",_xlfn.XLOOKUP(B50,'Raw'!C:C,'Raw'!B:B))</f>
        <v>Thiruvananthapuram</v>
      </c>
      <c r="B50" t="str">
        <v>KL38</v>
      </c>
      <c r="C50" t="str">
        <f>IF(B50="","",VLOOKUP(B50,RAW[[Hotel Code]:[Hotel / Resort Name ]],2,0))</f>
        <v>Uday Suites, The Airport Hotel</v>
      </c>
      <c r="H50" t="str">
        <v>Pagoda Resorts</v>
      </c>
      <c r="I50" t="str">
        <v>Jungle Park Resort</v>
      </c>
      <c r="J50" t="str">
        <v>Lagoona Beach Resort</v>
      </c>
      <c r="L50" t="str">
        <v xml:space="preserve">The Breeze Resort </v>
      </c>
    </row>
    <row r="51" spans="1:12" x14ac:dyDescent="0.25">
      <c r="A51" t="str">
        <f>IF(B50="","",_xlfn.XLOOKUP(B51,'Raw'!C:C,'Raw'!B:B))</f>
        <v>Thiruvananthapuram</v>
      </c>
      <c r="B51" t="str">
        <v>KL39</v>
      </c>
      <c r="C51" t="str">
        <f>IF(B51="","",VLOOKUP(B51,RAW[[Hotel Code]:[Hotel / Resort Name ]],2,0))</f>
        <v>Uday Suites, The Airport Hotel</v>
      </c>
      <c r="H51" t="str">
        <v>Symphony Houseboats</v>
      </c>
      <c r="I51" t="str">
        <v>Jungle Park Resort</v>
      </c>
      <c r="J51" t="str">
        <v>Lagoona Beach Resort</v>
      </c>
      <c r="L51" t="str">
        <v xml:space="preserve">The Breeze Resort </v>
      </c>
    </row>
    <row r="52" spans="1:12" x14ac:dyDescent="0.25">
      <c r="A52" t="str">
        <f>IF(B51="","",_xlfn.XLOOKUP(B52,'Raw'!C:C,'Raw'!B:B))</f>
        <v>Thiruvananthapuram</v>
      </c>
      <c r="B52" t="str">
        <v>KL40</v>
      </c>
      <c r="C52" t="str">
        <f>IF(B52="","",VLOOKUP(B52,RAW[[Hotel Code]:[Hotel / Resort Name ]],2,0))</f>
        <v>Uday Suites, The Airport Hotel</v>
      </c>
      <c r="H52" t="str">
        <v>Venice Iva Residency</v>
      </c>
      <c r="I52" t="str">
        <v>Jungle Park Resort</v>
      </c>
      <c r="J52" t="str">
        <v>Lagoona Beach Resort</v>
      </c>
      <c r="L52" t="str">
        <v>Blossom Hill Resort</v>
      </c>
    </row>
    <row r="53" spans="1:12" x14ac:dyDescent="0.25">
      <c r="A53" t="str">
        <f>IF(B52="","",_xlfn.XLOOKUP(B53,'Raw'!C:C,'Raw'!B:B))</f>
        <v>Thiruvananthapuram</v>
      </c>
      <c r="B53" t="str">
        <v>KL41</v>
      </c>
      <c r="C53" t="str">
        <f>IF(B53="","",VLOOKUP(B53,RAW[[Hotel Code]:[Hotel / Resort Name ]],2,0))</f>
        <v>Uday Suites, The Airport Hotel</v>
      </c>
      <c r="H53" t="str">
        <v>Venice Iva Residency</v>
      </c>
      <c r="I53" t="str">
        <v>Jungle Park Resort</v>
      </c>
      <c r="J53" t="str">
        <v>Lagoona Beach Resort</v>
      </c>
      <c r="L53" t="str">
        <v>Blossom Hill Resort</v>
      </c>
    </row>
    <row r="54" spans="1:12" x14ac:dyDescent="0.25">
      <c r="A54" t="str">
        <f>IF(B53="","",_xlfn.XLOOKUP(B54,'Raw'!C:C,'Raw'!B:B))</f>
        <v>Thiruvananthapuram</v>
      </c>
      <c r="B54" t="str">
        <v>KL42</v>
      </c>
      <c r="C54" t="str">
        <f>IF(B54="","",VLOOKUP(B54,RAW[[Hotel Code]:[Hotel / Resort Name ]],2,0))</f>
        <v>Uday Suites, The Airport Hotel</v>
      </c>
      <c r="H54" t="str">
        <v>Venice Iva Residency</v>
      </c>
      <c r="J54" t="str">
        <v>Lagoona Beach Resort</v>
      </c>
      <c r="L54" t="str">
        <v>The Whispering Meadows</v>
      </c>
    </row>
    <row r="55" spans="1:12" x14ac:dyDescent="0.25">
      <c r="A55" t="str">
        <f>IF(B54="","",_xlfn.XLOOKUP(B55,'Raw'!C:C,'Raw'!B:B))</f>
        <v>Thiruvananthapuram</v>
      </c>
      <c r="B55" t="str">
        <v>KL43</v>
      </c>
      <c r="C55" t="str">
        <f>IF(B55="","",VLOOKUP(B55,RAW[[Hotel Code]:[Hotel / Resort Name ]],2,0))</f>
        <v>Uday Suites, The Airport Hotel</v>
      </c>
      <c r="H55" t="str">
        <v>Trium Resort &amp; Houseboats</v>
      </c>
      <c r="J55" t="str">
        <v>Lagoona Beach Resort</v>
      </c>
      <c r="L55" t="str">
        <v>The Whispering Meadows</v>
      </c>
    </row>
    <row r="56" spans="1:12" x14ac:dyDescent="0.25">
      <c r="A56" t="str">
        <f>IF(B55="","",_xlfn.XLOOKUP(B56,'Raw'!C:C,'Raw'!B:B))</f>
        <v>Thiruvananthapuram</v>
      </c>
      <c r="B56" t="str">
        <v>KL44</v>
      </c>
      <c r="C56" t="str">
        <f>IF(B56="","",VLOOKUP(B56,RAW[[Hotel Code]:[Hotel / Resort Name ]],2,0))</f>
        <v>Uday Suites, The Airport Hotel</v>
      </c>
      <c r="H56" t="str">
        <v>Trium Resort &amp; Houseboats</v>
      </c>
      <c r="J56" t="str">
        <v>Ocean Bay Ayurvedic Beach Resort</v>
      </c>
      <c r="L56" t="str">
        <v>The Whispering Meadows</v>
      </c>
    </row>
    <row r="57" spans="1:12" x14ac:dyDescent="0.25">
      <c r="A57" t="str">
        <f>IF(B56="","",_xlfn.XLOOKUP(B57,'Raw'!C:C,'Raw'!B:B))</f>
        <v>Thiruvananthapuram</v>
      </c>
      <c r="B57" t="str">
        <v>KL45</v>
      </c>
      <c r="C57" t="str">
        <f>IF(B57="","",VLOOKUP(B57,RAW[[Hotel Code]:[Hotel / Resort Name ]],2,0))</f>
        <v>Uday Suites, The Airport Hotel</v>
      </c>
      <c r="H57" t="str">
        <v>Trium Resort &amp; Houseboats</v>
      </c>
      <c r="J57" t="str">
        <v>Ocean Bay Ayurvedic Beach Resort</v>
      </c>
    </row>
    <row r="58" spans="1:12" x14ac:dyDescent="0.25">
      <c r="A58" t="str">
        <f>IF(B57="","",_xlfn.XLOOKUP(B58,'Raw'!C:C,'Raw'!B:B))</f>
        <v>Munnar</v>
      </c>
      <c r="B58" t="str">
        <v>KL48</v>
      </c>
      <c r="C58" t="str">
        <f>IF(B58="","",VLOOKUP(B58,RAW[[Hotel Code]:[Hotel / Resort Name ]],2,0))</f>
        <v xml:space="preserve">Tea castle resort </v>
      </c>
      <c r="H58" t="str">
        <v>Trium Resort &amp; Houseboats</v>
      </c>
      <c r="J58" t="str">
        <v>Ocean Bay Ayurvedic Beach Resort</v>
      </c>
    </row>
    <row r="59" spans="1:12" x14ac:dyDescent="0.25">
      <c r="A59" t="str">
        <f>IF(B58="","",_xlfn.XLOOKUP(B59,'Raw'!C:C,'Raw'!B:B))</f>
        <v>Munnar</v>
      </c>
      <c r="B59" t="str">
        <v>KL49</v>
      </c>
      <c r="C59" t="str">
        <f>IF(B59="","",VLOOKUP(B59,RAW[[Hotel Code]:[Hotel / Resort Name ]],2,0))</f>
        <v xml:space="preserve">Tea castle resort </v>
      </c>
      <c r="H59" t="str">
        <v>Trium Resort &amp; Houseboats</v>
      </c>
      <c r="J59" t="str">
        <v>Ocean Bay Ayurvedic Beach Resort</v>
      </c>
    </row>
    <row r="60" spans="1:12" x14ac:dyDescent="0.25">
      <c r="A60" t="str">
        <f>IF(B59="","",_xlfn.XLOOKUP(B60,'Raw'!C:C,'Raw'!B:B))</f>
        <v>Munnar</v>
      </c>
      <c r="B60" t="str">
        <v>KL50</v>
      </c>
      <c r="C60" t="str">
        <f>IF(B60="","",VLOOKUP(B60,RAW[[Hotel Code]:[Hotel / Resort Name ]],2,0))</f>
        <v xml:space="preserve">Tea castle resort </v>
      </c>
      <c r="H60" t="str">
        <v>Trium Resort &amp; Houseboats</v>
      </c>
      <c r="J60" t="str">
        <v>Ocean Bay Ayurvedic Beach Resort</v>
      </c>
    </row>
    <row r="61" spans="1:12" x14ac:dyDescent="0.25">
      <c r="A61" t="str">
        <f>IF(B60="","",_xlfn.XLOOKUP(B61,'Raw'!C:C,'Raw'!B:B))</f>
        <v>Munnar</v>
      </c>
      <c r="B61" t="str">
        <v>KL51</v>
      </c>
      <c r="C61" t="str">
        <f>IF(B61="","",VLOOKUP(B61,RAW[[Hotel Code]:[Hotel / Resort Name ]],2,0))</f>
        <v xml:space="preserve">Tea castle resort </v>
      </c>
      <c r="H61" t="str">
        <v>Trium Deluxe Houseboats</v>
      </c>
      <c r="J61" t="str">
        <v>Aadisaktthi Resort</v>
      </c>
    </row>
    <row r="62" spans="1:12" x14ac:dyDescent="0.25">
      <c r="A62" t="str">
        <f>IF(B61="","",_xlfn.XLOOKUP(B62,'Raw'!C:C,'Raw'!B:B))</f>
        <v>Munnar</v>
      </c>
      <c r="B62" t="str">
        <v>KL52</v>
      </c>
      <c r="C62" t="str">
        <f>IF(B62="","",VLOOKUP(B62,RAW[[Hotel Code]:[Hotel / Resort Name ]],2,0))</f>
        <v xml:space="preserve">Tea castle resort </v>
      </c>
      <c r="H62" t="str">
        <v>Trium Deluxe Houseboats</v>
      </c>
      <c r="J62" t="str">
        <v>Aadisaktthi Resort</v>
      </c>
    </row>
    <row r="63" spans="1:12" x14ac:dyDescent="0.25">
      <c r="A63" t="str">
        <f>IF(B62="","",_xlfn.XLOOKUP(B63,'Raw'!C:C,'Raw'!B:B))</f>
        <v>Munnar</v>
      </c>
      <c r="B63" t="str">
        <v>KL53</v>
      </c>
      <c r="C63" t="str">
        <f>IF(B63="","",VLOOKUP(B63,RAW[[Hotel Code]:[Hotel / Resort Name ]],2,0))</f>
        <v xml:space="preserve">Tea castle resort </v>
      </c>
      <c r="H63" t="str">
        <v>Trium Preimum Houseboats</v>
      </c>
      <c r="J63" t="str">
        <v>Aadisaktthi Resort</v>
      </c>
    </row>
    <row r="64" spans="1:12" x14ac:dyDescent="0.25">
      <c r="A64" t="str">
        <f>IF(B63="","",_xlfn.XLOOKUP(B64,'Raw'!C:C,'Raw'!B:B))</f>
        <v>Munnar</v>
      </c>
      <c r="B64" t="str">
        <v>KL54</v>
      </c>
      <c r="C64" t="str">
        <f>IF(B64="","",VLOOKUP(B64,RAW[[Hotel Code]:[Hotel / Resort Name ]],2,0))</f>
        <v xml:space="preserve">The Breeze Resort </v>
      </c>
      <c r="H64" t="str">
        <v>Trium Preimum Houseboats</v>
      </c>
      <c r="J64" t="str">
        <v>Aadisaktthi Resort</v>
      </c>
    </row>
    <row r="65" spans="1:10" x14ac:dyDescent="0.25">
      <c r="A65" t="str">
        <f>IF(B64="","",_xlfn.XLOOKUP(B65,'Raw'!C:C,'Raw'!B:B))</f>
        <v>Munnar</v>
      </c>
      <c r="B65" t="str">
        <v>KL55</v>
      </c>
      <c r="C65" t="str">
        <f>IF(B65="","",VLOOKUP(B65,RAW[[Hotel Code]:[Hotel / Resort Name ]],2,0))</f>
        <v xml:space="preserve">The Breeze Resort </v>
      </c>
      <c r="H65" t="str">
        <v>Miraaya Sundara Island Villa</v>
      </c>
      <c r="J65" t="str">
        <v>Aadisaktthi Resort</v>
      </c>
    </row>
    <row r="66" spans="1:10" x14ac:dyDescent="0.25">
      <c r="A66" t="str">
        <f>IF(B65="","",_xlfn.XLOOKUP(B66,'Raw'!C:C,'Raw'!B:B))</f>
        <v>Munnar</v>
      </c>
      <c r="B66" t="str">
        <v>KL56</v>
      </c>
      <c r="C66" t="str">
        <f>IF(B66="","",VLOOKUP(B66,RAW[[Hotel Code]:[Hotel / Resort Name ]],2,0))</f>
        <v>The Whispering Meadows</v>
      </c>
      <c r="H66" t="str">
        <v>Miraaya Sundara Island Villa</v>
      </c>
      <c r="J66" t="str">
        <v>Aadisaktthi Resort</v>
      </c>
    </row>
    <row r="67" spans="1:10" x14ac:dyDescent="0.25">
      <c r="A67" t="str">
        <f>IF(B66="","",_xlfn.XLOOKUP(B67,'Raw'!C:C,'Raw'!B:B))</f>
        <v>Munnar</v>
      </c>
      <c r="B67" t="str">
        <v>KL57</v>
      </c>
      <c r="C67" t="str">
        <f>IF(B67="","",VLOOKUP(B67,RAW[[Hotel Code]:[Hotel / Resort Name ]],2,0))</f>
        <v>The Whispering Meadows</v>
      </c>
      <c r="H67" t="str">
        <v>Miraaya Sundara Island Villa</v>
      </c>
      <c r="J67" t="str">
        <v>Aadisaktthi Resort</v>
      </c>
    </row>
    <row r="68" spans="1:10" x14ac:dyDescent="0.25">
      <c r="A68" t="str">
        <f>IF(B67="","",_xlfn.XLOOKUP(B68,'Raw'!C:C,'Raw'!B:B))</f>
        <v>Munnar</v>
      </c>
      <c r="B68" t="str">
        <v>KL58</v>
      </c>
      <c r="C68" t="str">
        <f>IF(B68="","",VLOOKUP(B68,RAW[[Hotel Code]:[Hotel / Resort Name ]],2,0))</f>
        <v>Blossom Hill Resort</v>
      </c>
      <c r="H68" t="str">
        <v>Miraaya Sundara Island Villa</v>
      </c>
      <c r="J68" t="str">
        <v>Aadisaktthi Resort</v>
      </c>
    </row>
    <row r="69" spans="1:10" x14ac:dyDescent="0.25">
      <c r="A69" t="str">
        <f>IF(B68="","",_xlfn.XLOOKUP(B69,'Raw'!C:C,'Raw'!B:B))</f>
        <v>Munnar</v>
      </c>
      <c r="B69" t="str">
        <v>KL59</v>
      </c>
      <c r="C69" t="str">
        <f>IF(B69="","",VLOOKUP(B69,RAW[[Hotel Code]:[Hotel / Resort Name ]],2,0))</f>
        <v>Blossom Hill Resort</v>
      </c>
      <c r="H69" t="str">
        <v>Miraaya Sundara Island Villa</v>
      </c>
      <c r="J69" t="str">
        <v>Aadisaktthi Resort</v>
      </c>
    </row>
    <row r="70" spans="1:10" x14ac:dyDescent="0.25">
      <c r="A70" t="str">
        <f>IF(B69="","",_xlfn.XLOOKUP(B70,'Raw'!C:C,'Raw'!B:B))</f>
        <v>Alleppey</v>
      </c>
      <c r="B70" t="str">
        <v>KL62</v>
      </c>
      <c r="C70" t="str">
        <f>IF(B70="","",VLOOKUP(B70,RAW[[Hotel Code]:[Hotel / Resort Name ]],2,0))</f>
        <v>Venice Iva Residency</v>
      </c>
    </row>
    <row r="71" spans="1:10" x14ac:dyDescent="0.25">
      <c r="A71" t="str">
        <f>IF(B70="","",_xlfn.XLOOKUP(B71,'Raw'!C:C,'Raw'!B:B))</f>
        <v>Alleppey</v>
      </c>
      <c r="B71" t="str">
        <v>KL63</v>
      </c>
      <c r="C71" t="str">
        <f>IF(B71="","",VLOOKUP(B71,RAW[[Hotel Code]:[Hotel / Resort Name ]],2,0))</f>
        <v>Venice Iva Residency</v>
      </c>
    </row>
    <row r="72" spans="1:10" x14ac:dyDescent="0.25">
      <c r="A72" t="str">
        <f>IF(B71="","",_xlfn.XLOOKUP(B72,'Raw'!C:C,'Raw'!B:B))</f>
        <v>Munnar</v>
      </c>
      <c r="B72" t="str">
        <v>KL64</v>
      </c>
      <c r="C72" t="str">
        <f>IF(B72="","",VLOOKUP(B72,RAW[[Hotel Code]:[Hotel / Resort Name ]],2,0))</f>
        <v>Seven Springs Plantation Resort</v>
      </c>
    </row>
    <row r="73" spans="1:10" x14ac:dyDescent="0.25">
      <c r="A73" t="str">
        <f>IF(B72="","",_xlfn.XLOOKUP(B73,'Raw'!C:C,'Raw'!B:B))</f>
        <v>Munnar</v>
      </c>
      <c r="B73" t="str">
        <v>KL65</v>
      </c>
      <c r="C73" t="str">
        <f>IF(B73="","",VLOOKUP(B73,RAW[[Hotel Code]:[Hotel / Resort Name ]],2,0))</f>
        <v>Seven Springs Plantation Resort</v>
      </c>
    </row>
    <row r="74" spans="1:10" x14ac:dyDescent="0.25">
      <c r="A74" t="str">
        <f>IF(B73="","",_xlfn.XLOOKUP(B74,'Raw'!C:C,'Raw'!B:B))</f>
        <v>Munnar</v>
      </c>
      <c r="B74" t="str">
        <v>KL66</v>
      </c>
      <c r="C74" t="str">
        <f>IF(B74="","",VLOOKUP(B74,RAW[[Hotel Code]:[Hotel / Resort Name ]],2,0))</f>
        <v>Seven Springs Plantation Resort</v>
      </c>
    </row>
    <row r="75" spans="1:10" x14ac:dyDescent="0.25">
      <c r="A75" t="str">
        <f>IF(B74="","",_xlfn.XLOOKUP(B75,'Raw'!C:C,'Raw'!B:B))</f>
        <v>Munnar</v>
      </c>
      <c r="B75" t="str">
        <v>KL67</v>
      </c>
      <c r="C75" t="str">
        <f>IF(B75="","",VLOOKUP(B75,RAW[[Hotel Code]:[Hotel / Resort Name ]],2,0))</f>
        <v>Seven Springs Plantation Resort</v>
      </c>
    </row>
    <row r="76" spans="1:10" x14ac:dyDescent="0.25">
      <c r="A76" t="str">
        <f>IF(B75="","",_xlfn.XLOOKUP(B76,'Raw'!C:C,'Raw'!B:B))</f>
        <v>Munnar</v>
      </c>
      <c r="B76" t="str">
        <v>KL68</v>
      </c>
      <c r="C76" t="str">
        <f>IF(B76="","",VLOOKUP(B76,RAW[[Hotel Code]:[Hotel / Resort Name ]],2,0))</f>
        <v>Seven Springs Plantation Resort</v>
      </c>
    </row>
    <row r="77" spans="1:10" x14ac:dyDescent="0.25">
      <c r="A77" t="str">
        <f>IF(B76="","",_xlfn.XLOOKUP(B77,'Raw'!C:C,'Raw'!B:B))</f>
        <v>Alleppey</v>
      </c>
      <c r="B77" t="str">
        <v>KL69</v>
      </c>
      <c r="C77" t="str">
        <f>IF(B77="","",VLOOKUP(B77,RAW[[Hotel Code]:[Hotel / Resort Name ]],2,0))</f>
        <v>Casino Houseboats</v>
      </c>
    </row>
    <row r="78" spans="1:10" x14ac:dyDescent="0.25">
      <c r="A78" t="str">
        <f>IF(B77="","",_xlfn.XLOOKUP(B78,'Raw'!C:C,'Raw'!B:B))</f>
        <v>Alleppey</v>
      </c>
      <c r="B78" t="str">
        <v>KL70</v>
      </c>
      <c r="C78" t="str">
        <f>IF(B78="","",VLOOKUP(B78,RAW[[Hotel Code]:[Hotel / Resort Name ]],2,0))</f>
        <v>Casino Houseboats</v>
      </c>
    </row>
    <row r="79" spans="1:10" x14ac:dyDescent="0.25">
      <c r="A79" t="str">
        <f>IF(B78="","",_xlfn.XLOOKUP(B79,'Raw'!C:C,'Raw'!B:B))</f>
        <v>Alleppey</v>
      </c>
      <c r="B79" t="str">
        <v>KL72</v>
      </c>
      <c r="C79" t="str">
        <f>IF(B79="","",VLOOKUP(B79,RAW[[Hotel Code]:[Hotel / Resort Name ]],2,0))</f>
        <v xml:space="preserve">Haveli Backwater Resort </v>
      </c>
    </row>
    <row r="80" spans="1:10" x14ac:dyDescent="0.25">
      <c r="A80" t="str">
        <f>IF(B79="","",_xlfn.XLOOKUP(B80,'Raw'!C:C,'Raw'!B:B))</f>
        <v>Alleppey</v>
      </c>
      <c r="B80" t="str">
        <v>KL73</v>
      </c>
      <c r="C80" t="str">
        <f>IF(B80="","",VLOOKUP(B80,RAW[[Hotel Code]:[Hotel / Resort Name ]],2,0))</f>
        <v xml:space="preserve">Haveli Backwater Resort </v>
      </c>
    </row>
    <row r="81" spans="1:3" x14ac:dyDescent="0.25">
      <c r="A81" t="str">
        <f>IF(B80="","",_xlfn.XLOOKUP(B81,'Raw'!C:C,'Raw'!B:B))</f>
        <v>Alleppey</v>
      </c>
      <c r="B81" t="str">
        <v>KL74</v>
      </c>
      <c r="C81" t="str">
        <f>IF(B81="","",VLOOKUP(B81,RAW[[Hotel Code]:[Hotel / Resort Name ]],2,0))</f>
        <v xml:space="preserve">Haveli Backwater Resort </v>
      </c>
    </row>
    <row r="82" spans="1:3" x14ac:dyDescent="0.25">
      <c r="A82" t="str">
        <f>IF(B81="","",_xlfn.XLOOKUP(B82,'Raw'!C:C,'Raw'!B:B))</f>
        <v>Alleppey</v>
      </c>
      <c r="B82" t="str">
        <v>KL75</v>
      </c>
      <c r="C82" t="str">
        <f>IF(B82="","",VLOOKUP(B82,RAW[[Hotel Code]:[Hotel / Resort Name ]],2,0))</f>
        <v xml:space="preserve">Haveli Backwater Resort </v>
      </c>
    </row>
    <row r="83" spans="1:3" x14ac:dyDescent="0.25">
      <c r="A83" t="str">
        <f>IF(B82="","",_xlfn.XLOOKUP(B83,'Raw'!C:C,'Raw'!B:B))</f>
        <v>Alleppey</v>
      </c>
      <c r="B83" t="str">
        <v>KL76</v>
      </c>
      <c r="C83" t="str">
        <f>IF(B83="","",VLOOKUP(B83,RAW[[Hotel Code]:[Hotel / Resort Name ]],2,0))</f>
        <v xml:space="preserve">Haveli Backwater Resort </v>
      </c>
    </row>
    <row r="84" spans="1:3" x14ac:dyDescent="0.25">
      <c r="A84" t="str">
        <f>IF(B83="","",_xlfn.XLOOKUP(B84,'Raw'!C:C,'Raw'!B:B))</f>
        <v>Alleppey</v>
      </c>
      <c r="B84" t="str">
        <v>KL77</v>
      </c>
      <c r="C84" t="str">
        <f>IF(B84="","",VLOOKUP(B84,RAW[[Hotel Code]:[Hotel / Resort Name ]],2,0))</f>
        <v xml:space="preserve">Haveli Backwater Resort </v>
      </c>
    </row>
    <row r="85" spans="1:3" x14ac:dyDescent="0.25">
      <c r="A85" t="str">
        <f>IF(B84="","",_xlfn.XLOOKUP(B85,'Raw'!C:C,'Raw'!B:B))</f>
        <v>Alleppey</v>
      </c>
      <c r="B85" t="str">
        <v>KL78</v>
      </c>
      <c r="C85" t="str">
        <f>IF(B85="","",VLOOKUP(B85,RAW[[Hotel Code]:[Hotel / Resort Name ]],2,0))</f>
        <v>Pagoda Resorts</v>
      </c>
    </row>
    <row r="86" spans="1:3" x14ac:dyDescent="0.25">
      <c r="A86" t="str">
        <f>IF(B85="","",_xlfn.XLOOKUP(B86,'Raw'!C:C,'Raw'!B:B))</f>
        <v>Alleppey</v>
      </c>
      <c r="B86" t="str">
        <v>KL79</v>
      </c>
      <c r="C86" t="str">
        <f>IF(B86="","",VLOOKUP(B86,RAW[[Hotel Code]:[Hotel / Resort Name ]],2,0))</f>
        <v>Pagoda Resorts</v>
      </c>
    </row>
    <row r="87" spans="1:3" x14ac:dyDescent="0.25">
      <c r="A87" t="str">
        <f>IF(B86="","",_xlfn.XLOOKUP(B87,'Raw'!C:C,'Raw'!B:B))</f>
        <v>Alleppey</v>
      </c>
      <c r="B87" t="str">
        <v>KL80</v>
      </c>
      <c r="C87" t="str">
        <f>IF(B87="","",VLOOKUP(B87,RAW[[Hotel Code]:[Hotel / Resort Name ]],2,0))</f>
        <v>Pagoda Resorts</v>
      </c>
    </row>
    <row r="88" spans="1:3" x14ac:dyDescent="0.25">
      <c r="A88" t="str">
        <f>IF(B87="","",_xlfn.XLOOKUP(B88,'Raw'!C:C,'Raw'!B:B))</f>
        <v>Alleppey</v>
      </c>
      <c r="B88" t="str">
        <v>KL81</v>
      </c>
      <c r="C88" t="str">
        <f>IF(B88="","",VLOOKUP(B88,RAW[[Hotel Code]:[Hotel / Resort Name ]],2,0))</f>
        <v>Pagoda Resorts</v>
      </c>
    </row>
    <row r="89" spans="1:3" x14ac:dyDescent="0.25">
      <c r="A89" t="str">
        <f>IF(B88="","",_xlfn.XLOOKUP(B89,'Raw'!C:C,'Raw'!B:B))</f>
        <v>Alleppey</v>
      </c>
      <c r="B89" t="str">
        <v>KL82</v>
      </c>
      <c r="C89" t="str">
        <f>IF(B89="","",VLOOKUP(B89,RAW[[Hotel Code]:[Hotel / Resort Name ]],2,0))</f>
        <v>Pagoda Resorts</v>
      </c>
    </row>
    <row r="90" spans="1:3" x14ac:dyDescent="0.25">
      <c r="A90" t="str">
        <f>IF(B89="","",_xlfn.XLOOKUP(B90,'Raw'!C:C,'Raw'!B:B))</f>
        <v>Alleppey</v>
      </c>
      <c r="B90" t="str">
        <v>KL83</v>
      </c>
      <c r="C90" t="str">
        <f>IF(B90="","",VLOOKUP(B90,RAW[[Hotel Code]:[Hotel / Resort Name ]],2,0))</f>
        <v>Pagoda Resorts</v>
      </c>
    </row>
    <row r="91" spans="1:3" x14ac:dyDescent="0.25">
      <c r="A91" t="str">
        <f>IF(B90="","",_xlfn.XLOOKUP(B91,'Raw'!C:C,'Raw'!B:B))</f>
        <v>Alleppey</v>
      </c>
      <c r="B91" t="str">
        <v>KL84</v>
      </c>
      <c r="C91" t="str">
        <f>IF(B91="","",VLOOKUP(B91,RAW[[Hotel Code]:[Hotel / Resort Name ]],2,0))</f>
        <v>Pagoda Resorts</v>
      </c>
    </row>
    <row r="92" spans="1:3" x14ac:dyDescent="0.25">
      <c r="A92" t="str">
        <f>IF(B91="","",_xlfn.XLOOKUP(B92,'Raw'!C:C,'Raw'!B:B))</f>
        <v xml:space="preserve">Thekkady </v>
      </c>
      <c r="B92" t="str">
        <v>KL85</v>
      </c>
      <c r="C92" t="str">
        <f>IF(B92="","",VLOOKUP(B92,RAW[[Hotel Code]:[Hotel / Resort Name ]],2,0))</f>
        <v xml:space="preserve">Pagoda Plantation Resort  </v>
      </c>
    </row>
    <row r="93" spans="1:3" x14ac:dyDescent="0.25">
      <c r="A93" t="str">
        <f>IF(B92="","",_xlfn.XLOOKUP(B93,'Raw'!C:C,'Raw'!B:B))</f>
        <v xml:space="preserve">Thekkady </v>
      </c>
      <c r="B93" t="str">
        <v>KL86</v>
      </c>
      <c r="C93" t="str">
        <f>IF(B93="","",VLOOKUP(B93,RAW[[Hotel Code]:[Hotel / Resort Name ]],2,0))</f>
        <v xml:space="preserve">Pagoda Plantation Resort  </v>
      </c>
    </row>
    <row r="94" spans="1:3" x14ac:dyDescent="0.25">
      <c r="A94" t="str">
        <f>IF(B93="","",_xlfn.XLOOKUP(B94,'Raw'!C:C,'Raw'!B:B))</f>
        <v xml:space="preserve">Thekkady </v>
      </c>
      <c r="B94" t="str">
        <v>KL87</v>
      </c>
      <c r="C94" t="str">
        <f>IF(B94="","",VLOOKUP(B94,RAW[[Hotel Code]:[Hotel / Resort Name ]],2,0))</f>
        <v xml:space="preserve">Pagoda Plantation Resort  </v>
      </c>
    </row>
    <row r="95" spans="1:3" x14ac:dyDescent="0.25">
      <c r="A95" t="str">
        <f>IF(B94="","",_xlfn.XLOOKUP(B95,'Raw'!C:C,'Raw'!B:B))</f>
        <v xml:space="preserve">Thekkady </v>
      </c>
      <c r="B95" t="str">
        <v>KL88</v>
      </c>
      <c r="C95" t="str">
        <f>IF(B95="","",VLOOKUP(B95,RAW[[Hotel Code]:[Hotel / Resort Name ]],2,0))</f>
        <v xml:space="preserve">Pagoda Plantation Resort  </v>
      </c>
    </row>
    <row r="96" spans="1:3" x14ac:dyDescent="0.25">
      <c r="A96" t="str">
        <f>IF(B95="","",_xlfn.XLOOKUP(B96,'Raw'!C:C,'Raw'!B:B))</f>
        <v xml:space="preserve">Thekkady </v>
      </c>
      <c r="B96" t="str">
        <v>KL89</v>
      </c>
      <c r="C96" t="str">
        <f>IF(B96="","",VLOOKUP(B96,RAW[[Hotel Code]:[Hotel / Resort Name ]],2,0))</f>
        <v xml:space="preserve">Pagoda Plantation Resort  </v>
      </c>
    </row>
    <row r="97" spans="1:3" x14ac:dyDescent="0.25">
      <c r="A97" t="str">
        <f>IF(B96="","",_xlfn.XLOOKUP(B97,'Raw'!C:C,'Raw'!B:B))</f>
        <v xml:space="preserve">Thekkady </v>
      </c>
      <c r="B97" t="str">
        <v>KL90</v>
      </c>
      <c r="C97" t="str">
        <f>IF(B97="","",VLOOKUP(B97,RAW[[Hotel Code]:[Hotel / Resort Name ]],2,0))</f>
        <v xml:space="preserve">Pagoda Plantation Resort  </v>
      </c>
    </row>
    <row r="98" spans="1:3" x14ac:dyDescent="0.25">
      <c r="A98" t="str">
        <f>IF(B97="","",_xlfn.XLOOKUP(B98,'Raw'!C:C,'Raw'!B:B))</f>
        <v xml:space="preserve">Thekkady </v>
      </c>
      <c r="B98" t="str">
        <v>KL91</v>
      </c>
      <c r="C98" t="str">
        <f>IF(B98="","",VLOOKUP(B98,RAW[[Hotel Code]:[Hotel / Resort Name ]],2,0))</f>
        <v xml:space="preserve">Pagoda Plantation Resort  </v>
      </c>
    </row>
    <row r="99" spans="1:3" x14ac:dyDescent="0.25">
      <c r="A99" t="str">
        <f>IF(B98="","",_xlfn.XLOOKUP(B99,'Raw'!C:C,'Raw'!B:B))</f>
        <v xml:space="preserve">Thekkady </v>
      </c>
      <c r="B99" t="str">
        <v>KL92</v>
      </c>
      <c r="C99" t="str">
        <f>IF(B99="","",VLOOKUP(B99,RAW[[Hotel Code]:[Hotel / Resort Name ]],2,0))</f>
        <v xml:space="preserve">Pagoda Plantation Resort  </v>
      </c>
    </row>
    <row r="100" spans="1:3" x14ac:dyDescent="0.25">
      <c r="A100" t="str">
        <f>IF(B99="","",_xlfn.XLOOKUP(B100,'Raw'!C:C,'Raw'!B:B))</f>
        <v xml:space="preserve">Thekkady </v>
      </c>
      <c r="B100" t="str">
        <v>KL93</v>
      </c>
      <c r="C100" t="str">
        <f>IF(B100="","",VLOOKUP(B100,RAW[[Hotel Code]:[Hotel / Resort Name ]],2,0))</f>
        <v xml:space="preserve">Pagoda Plantation Resort  </v>
      </c>
    </row>
    <row r="101" spans="1:3" x14ac:dyDescent="0.25">
      <c r="A101" t="str">
        <f>IF(B100="","",_xlfn.XLOOKUP(B101,'Raw'!C:C,'Raw'!B:B))</f>
        <v>Munnar</v>
      </c>
      <c r="B101" t="str">
        <v>KL94</v>
      </c>
      <c r="C101" t="str">
        <f>IF(B101="","",VLOOKUP(B101,RAW[[Hotel Code]:[Hotel / Resort Name ]],2,0))</f>
        <v xml:space="preserve">The Breeze Resort </v>
      </c>
    </row>
    <row r="102" spans="1:3" x14ac:dyDescent="0.25">
      <c r="A102" t="str">
        <f>IF(B101="","",_xlfn.XLOOKUP(B102,'Raw'!C:C,'Raw'!B:B))</f>
        <v xml:space="preserve">Thekkady </v>
      </c>
      <c r="B102" t="str">
        <v>KL95</v>
      </c>
      <c r="C102" t="str">
        <f>IF(B102="","",VLOOKUP(B102,RAW[[Hotel Code]:[Hotel / Resort Name ]],2,0))</f>
        <v>Jungle Park Resort</v>
      </c>
    </row>
    <row r="103" spans="1:3" x14ac:dyDescent="0.25">
      <c r="A103" t="str">
        <f>IF(B102="","",_xlfn.XLOOKUP(B103,'Raw'!C:C,'Raw'!B:B))</f>
        <v xml:space="preserve">Thekkady </v>
      </c>
      <c r="B103" t="str">
        <v>KL96</v>
      </c>
      <c r="C103" t="str">
        <f>IF(B103="","",VLOOKUP(B103,RAW[[Hotel Code]:[Hotel / Resort Name ]],2,0))</f>
        <v>Jungle Park Resort</v>
      </c>
    </row>
    <row r="104" spans="1:3" x14ac:dyDescent="0.25">
      <c r="A104" t="str">
        <f>IF(B103="","",_xlfn.XLOOKUP(B104,'Raw'!C:C,'Raw'!B:B))</f>
        <v xml:space="preserve">Thekkady </v>
      </c>
      <c r="B104" t="str">
        <v>KL97</v>
      </c>
      <c r="C104" t="str">
        <f>IF(B104="","",VLOOKUP(B104,RAW[[Hotel Code]:[Hotel / Resort Name ]],2,0))</f>
        <v>Jungle Park Resort</v>
      </c>
    </row>
    <row r="105" spans="1:3" x14ac:dyDescent="0.25">
      <c r="A105" t="str">
        <f>IF(B104="","",_xlfn.XLOOKUP(B105,'Raw'!C:C,'Raw'!B:B))</f>
        <v xml:space="preserve">Thekkady </v>
      </c>
      <c r="B105" t="str">
        <v>KL98</v>
      </c>
      <c r="C105" t="str">
        <f>IF(B105="","",VLOOKUP(B105,RAW[[Hotel Code]:[Hotel / Resort Name ]],2,0))</f>
        <v>Jungle Park Resort</v>
      </c>
    </row>
    <row r="106" spans="1:3" x14ac:dyDescent="0.25">
      <c r="A106" t="str">
        <f>IF(B105="","",_xlfn.XLOOKUP(B106,'Raw'!C:C,'Raw'!B:B))</f>
        <v xml:space="preserve">Thekkady </v>
      </c>
      <c r="B106" t="str">
        <v>KL99</v>
      </c>
      <c r="C106" t="str">
        <f>IF(B106="","",VLOOKUP(B106,RAW[[Hotel Code]:[Hotel / Resort Name ]],2,0))</f>
        <v>Jungle Park Resort</v>
      </c>
    </row>
    <row r="107" spans="1:3" x14ac:dyDescent="0.25">
      <c r="A107" t="str">
        <f>IF(B106="","",_xlfn.XLOOKUP(B107,'Raw'!C:C,'Raw'!B:B))</f>
        <v xml:space="preserve">Thekkady </v>
      </c>
      <c r="B107" t="str">
        <v>KL100</v>
      </c>
      <c r="C107" t="str">
        <f>IF(B107="","",VLOOKUP(B107,RAW[[Hotel Code]:[Hotel / Resort Name ]],2,0))</f>
        <v>Jungle Park Resort</v>
      </c>
    </row>
    <row r="108" spans="1:3" x14ac:dyDescent="0.25">
      <c r="A108" t="str">
        <f>IF(B107="","",_xlfn.XLOOKUP(B108,'Raw'!C:C,'Raw'!B:B))</f>
        <v xml:space="preserve">Thekkady </v>
      </c>
      <c r="B108" t="str">
        <v>KL101</v>
      </c>
      <c r="C108" t="str">
        <f>IF(B108="","",VLOOKUP(B108,RAW[[Hotel Code]:[Hotel / Resort Name ]],2,0))</f>
        <v>Jungle Park Resort</v>
      </c>
    </row>
    <row r="109" spans="1:3" x14ac:dyDescent="0.25">
      <c r="A109" t="str">
        <f>IF(B108="","",_xlfn.XLOOKUP(B109,'Raw'!C:C,'Raw'!B:B))</f>
        <v xml:space="preserve">Thekkady </v>
      </c>
      <c r="B109" t="str">
        <v>KL102</v>
      </c>
      <c r="C109" t="str">
        <f>IF(B109="","",VLOOKUP(B109,RAW[[Hotel Code]:[Hotel / Resort Name ]],2,0))</f>
        <v>Jungle Park Resort</v>
      </c>
    </row>
    <row r="110" spans="1:3" x14ac:dyDescent="0.25">
      <c r="A110" t="str">
        <f>IF(B109="","",_xlfn.XLOOKUP(B110,'Raw'!C:C,'Raw'!B:B))</f>
        <v>Munnar</v>
      </c>
      <c r="B110" t="str">
        <v>KL103</v>
      </c>
      <c r="C110" t="str">
        <f>IF(B110="","",VLOOKUP(B110,RAW[[Hotel Code]:[Hotel / Resort Name ]],2,0))</f>
        <v>Blossom Hill Resort</v>
      </c>
    </row>
    <row r="111" spans="1:3" x14ac:dyDescent="0.25">
      <c r="A111" t="str">
        <f>IF(B110="","",_xlfn.XLOOKUP(B111,'Raw'!C:C,'Raw'!B:B))</f>
        <v>Alleppey</v>
      </c>
      <c r="B111" t="str">
        <v>KL104</v>
      </c>
      <c r="C111" t="str">
        <f>IF(B111="","",VLOOKUP(B111,RAW[[Hotel Code]:[Hotel / Resort Name ]],2,0))</f>
        <v>Symphony Houseboats</v>
      </c>
    </row>
    <row r="112" spans="1:3" x14ac:dyDescent="0.25">
      <c r="A112" t="str">
        <f>IF(B111="","",_xlfn.XLOOKUP(B112,'Raw'!C:C,'Raw'!B:B))</f>
        <v>Kovalam</v>
      </c>
      <c r="B112" t="str">
        <v>KL105</v>
      </c>
      <c r="C112" t="str">
        <f>IF(B112="","",VLOOKUP(B112,RAW[[Hotel Code]:[Hotel / Resort Name ]],2,0))</f>
        <v>Jeevan Beach Resort</v>
      </c>
    </row>
    <row r="113" spans="1:3" x14ac:dyDescent="0.25">
      <c r="A113" t="str">
        <f>IF(B112="","",_xlfn.XLOOKUP(B113,'Raw'!C:C,'Raw'!B:B))</f>
        <v>Kovalam</v>
      </c>
      <c r="B113" t="str">
        <v>KL106</v>
      </c>
      <c r="C113" t="str">
        <f>IF(B113="","",VLOOKUP(B113,RAW[[Hotel Code]:[Hotel / Resort Name ]],2,0))</f>
        <v>Jeevan Beach Resort</v>
      </c>
    </row>
    <row r="114" spans="1:3" x14ac:dyDescent="0.25">
      <c r="A114" t="str">
        <f>IF(B113="","",_xlfn.XLOOKUP(B114,'Raw'!C:C,'Raw'!B:B))</f>
        <v>Kovalam</v>
      </c>
      <c r="B114" t="str">
        <v>KL107</v>
      </c>
      <c r="C114" t="str">
        <f>IF(B114="","",VLOOKUP(B114,RAW[[Hotel Code]:[Hotel / Resort Name ]],2,0))</f>
        <v>Jeevan Beach Resort</v>
      </c>
    </row>
    <row r="115" spans="1:3" x14ac:dyDescent="0.25">
      <c r="A115" t="str">
        <f>IF(B114="","",_xlfn.XLOOKUP(B115,'Raw'!C:C,'Raw'!B:B))</f>
        <v>Kovalam</v>
      </c>
      <c r="B115" t="str">
        <v>KL108</v>
      </c>
      <c r="C115" t="str">
        <f>IF(B115="","",VLOOKUP(B115,RAW[[Hotel Code]:[Hotel / Resort Name ]],2,0))</f>
        <v>Jeevan Beach Resort</v>
      </c>
    </row>
    <row r="116" spans="1:3" x14ac:dyDescent="0.25">
      <c r="A116" t="str">
        <f>IF(B115="","",_xlfn.XLOOKUP(B116,'Raw'!C:C,'Raw'!B:B))</f>
        <v>Kovalam</v>
      </c>
      <c r="B116" t="str">
        <v>KL109</v>
      </c>
      <c r="C116" t="str">
        <f>IF(B116="","",VLOOKUP(B116,RAW[[Hotel Code]:[Hotel / Resort Name ]],2,0))</f>
        <v>Jeevan Beach Resort</v>
      </c>
    </row>
    <row r="117" spans="1:3" x14ac:dyDescent="0.25">
      <c r="A117" t="str">
        <f>IF(B116="","",_xlfn.XLOOKUP(B117,'Raw'!C:C,'Raw'!B:B))</f>
        <v>Kovalam</v>
      </c>
      <c r="B117" t="str">
        <v>KL110</v>
      </c>
      <c r="C117" t="str">
        <f>IF(B117="","",VLOOKUP(B117,RAW[[Hotel Code]:[Hotel / Resort Name ]],2,0))</f>
        <v>Jeevan Beach Resort</v>
      </c>
    </row>
    <row r="118" spans="1:3" x14ac:dyDescent="0.25">
      <c r="A118" t="str">
        <f>IF(B117="","",_xlfn.XLOOKUP(B118,'Raw'!C:C,'Raw'!B:B))</f>
        <v>Varkala</v>
      </c>
      <c r="B118" t="str">
        <v>KL111</v>
      </c>
      <c r="C118" t="str">
        <f>IF(B118="","",VLOOKUP(B118,RAW[[Hotel Code]:[Hotel / Resort Name ]],2,0))</f>
        <v>Sunview Beach Resort &amp; Spa by Citrine</v>
      </c>
    </row>
    <row r="119" spans="1:3" x14ac:dyDescent="0.25">
      <c r="A119" t="str">
        <f>IF(B118="","",_xlfn.XLOOKUP(B119,'Raw'!C:C,'Raw'!B:B))</f>
        <v>Varkala</v>
      </c>
      <c r="B119" t="str">
        <v>KL112</v>
      </c>
      <c r="C119" t="str">
        <f>IF(B119="","",VLOOKUP(B119,RAW[[Hotel Code]:[Hotel / Resort Name ]],2,0))</f>
        <v>Sunview Beach Resort &amp; Spa by Citrine</v>
      </c>
    </row>
    <row r="120" spans="1:3" x14ac:dyDescent="0.25">
      <c r="A120" t="str">
        <f>IF(B119="","",_xlfn.XLOOKUP(B120,'Raw'!C:C,'Raw'!B:B))</f>
        <v>Varkala</v>
      </c>
      <c r="B120" t="str">
        <v>KL113</v>
      </c>
      <c r="C120" t="str">
        <f>IF(B120="","",VLOOKUP(B120,RAW[[Hotel Code]:[Hotel / Resort Name ]],2,0))</f>
        <v>Sunview Beach Resort &amp; Spa by Citrine</v>
      </c>
    </row>
    <row r="121" spans="1:3" x14ac:dyDescent="0.25">
      <c r="A121" t="str">
        <f>IF(B120="","",_xlfn.XLOOKUP(B121,'Raw'!C:C,'Raw'!B:B))</f>
        <v>Varkala</v>
      </c>
      <c r="B121" t="str">
        <v>KL114</v>
      </c>
      <c r="C121" t="str">
        <f>IF(B121="","",VLOOKUP(B121,RAW[[Hotel Code]:[Hotel / Resort Name ]],2,0))</f>
        <v>Sunview Beach Resort &amp; Spa by Citrine</v>
      </c>
    </row>
    <row r="122" spans="1:3" x14ac:dyDescent="0.25">
      <c r="A122" t="str">
        <f>IF(B121="","",_xlfn.XLOOKUP(B122,'Raw'!C:C,'Raw'!B:B))</f>
        <v>Varkala</v>
      </c>
      <c r="B122" t="str">
        <v>KL115</v>
      </c>
      <c r="C122" t="str">
        <f>IF(B122="","",VLOOKUP(B122,RAW[[Hotel Code]:[Hotel / Resort Name ]],2,0))</f>
        <v>Sunview Beach Resort &amp; Spa by Citrine</v>
      </c>
    </row>
    <row r="123" spans="1:3" x14ac:dyDescent="0.25">
      <c r="A123" t="str">
        <f>IF(B122="","",_xlfn.XLOOKUP(B123,'Raw'!C:C,'Raw'!B:B))</f>
        <v>Varkala</v>
      </c>
      <c r="B123" t="str">
        <v>KL116</v>
      </c>
      <c r="C123" t="str">
        <f>IF(B123="","",VLOOKUP(B123,RAW[[Hotel Code]:[Hotel / Resort Name ]],2,0))</f>
        <v>Sunview Beach Resort &amp; Spa by Citrine</v>
      </c>
    </row>
    <row r="124" spans="1:3" x14ac:dyDescent="0.25">
      <c r="A124" t="str">
        <f>IF(B123="","",_xlfn.XLOOKUP(B124,'Raw'!C:C,'Raw'!B:B))</f>
        <v>Varkala</v>
      </c>
      <c r="B124" t="str">
        <v>KL117</v>
      </c>
      <c r="C124" t="str">
        <f>IF(B124="","",VLOOKUP(B124,RAW[[Hotel Code]:[Hotel / Resort Name ]],2,0))</f>
        <v>Sunview Beach Resort &amp; Spa by Citrine</v>
      </c>
    </row>
    <row r="125" spans="1:3" x14ac:dyDescent="0.25">
      <c r="A125" t="str">
        <f>IF(B124="","",_xlfn.XLOOKUP(B125,'Raw'!C:C,'Raw'!B:B))</f>
        <v>Alleppey</v>
      </c>
      <c r="B125" t="str">
        <v>KL118</v>
      </c>
      <c r="C125" t="str">
        <f>IF(B125="","",VLOOKUP(B125,RAW[[Hotel Code]:[Hotel / Resort Name ]],2,0))</f>
        <v>Venice Iva Residency</v>
      </c>
    </row>
    <row r="126" spans="1:3" x14ac:dyDescent="0.25">
      <c r="A126" t="str">
        <f>IF(B125="","",_xlfn.XLOOKUP(B126,'Raw'!C:C,'Raw'!B:B))</f>
        <v>Alleppey</v>
      </c>
      <c r="B126" t="str">
        <v>KL119</v>
      </c>
      <c r="C126" t="str">
        <f>IF(B126="","",VLOOKUP(B126,RAW[[Hotel Code]:[Hotel / Resort Name ]],2,0))</f>
        <v>Venice Iva Residency</v>
      </c>
    </row>
    <row r="127" spans="1:3" x14ac:dyDescent="0.25">
      <c r="A127" t="str">
        <f>IF(B126="","",_xlfn.XLOOKUP(B127,'Raw'!C:C,'Raw'!B:B))</f>
        <v>Alleppey</v>
      </c>
      <c r="B127" t="str">
        <v>KL120</v>
      </c>
      <c r="C127" t="str">
        <f>IF(B127="","",VLOOKUP(B127,RAW[[Hotel Code]:[Hotel / Resort Name ]],2,0))</f>
        <v>Venice Iva Residency</v>
      </c>
    </row>
    <row r="128" spans="1:3" x14ac:dyDescent="0.25">
      <c r="A128" t="str">
        <f>IF(B127="","",_xlfn.XLOOKUP(B128,'Raw'!C:C,'Raw'!B:B))</f>
        <v>Munnar</v>
      </c>
      <c r="B128" t="str">
        <v>KL121</v>
      </c>
      <c r="C128" t="str">
        <f>IF(B128="","",VLOOKUP(B128,RAW[[Hotel Code]:[Hotel / Resort Name ]],2,0))</f>
        <v>Sprise Munnar Resort &amp; Spa</v>
      </c>
    </row>
    <row r="129" spans="1:3" x14ac:dyDescent="0.25">
      <c r="A129" t="str">
        <f>IF(B128="","",_xlfn.XLOOKUP(B129,'Raw'!C:C,'Raw'!B:B))</f>
        <v>Munnar</v>
      </c>
      <c r="B129" t="str">
        <v>KL122</v>
      </c>
      <c r="C129" t="str">
        <f>IF(B129="","",VLOOKUP(B129,RAW[[Hotel Code]:[Hotel / Resort Name ]],2,0))</f>
        <v>Sprise Munnar Resort &amp; Spa</v>
      </c>
    </row>
    <row r="130" spans="1:3" x14ac:dyDescent="0.25">
      <c r="A130" t="str">
        <f>IF(B129="","",_xlfn.XLOOKUP(B130,'Raw'!C:C,'Raw'!B:B))</f>
        <v>Munnar</v>
      </c>
      <c r="B130" t="str">
        <v>KL123</v>
      </c>
      <c r="C130" t="str">
        <f>IF(B130="","",VLOOKUP(B130,RAW[[Hotel Code]:[Hotel / Resort Name ]],2,0))</f>
        <v>Sprise Munnar Resort &amp; Spa</v>
      </c>
    </row>
    <row r="131" spans="1:3" x14ac:dyDescent="0.25">
      <c r="A131" t="str">
        <f>IF(B130="","",_xlfn.XLOOKUP(B131,'Raw'!C:C,'Raw'!B:B))</f>
        <v>Munnar</v>
      </c>
      <c r="B131" t="str">
        <v>KL124</v>
      </c>
      <c r="C131" t="str">
        <f>IF(B131="","",VLOOKUP(B131,RAW[[Hotel Code]:[Hotel / Resort Name ]],2,0))</f>
        <v>Sprise Munnar Resort &amp; Spa</v>
      </c>
    </row>
    <row r="132" spans="1:3" x14ac:dyDescent="0.25">
      <c r="A132" t="str">
        <f>IF(B131="","",_xlfn.XLOOKUP(B132,'Raw'!C:C,'Raw'!B:B))</f>
        <v>Munnar</v>
      </c>
      <c r="B132" t="str">
        <v>KL125</v>
      </c>
      <c r="C132" t="str">
        <f>IF(B132="","",VLOOKUP(B132,RAW[[Hotel Code]:[Hotel / Resort Name ]],2,0))</f>
        <v>Sprise Munnar Resort &amp; Spa</v>
      </c>
    </row>
    <row r="133" spans="1:3" x14ac:dyDescent="0.25">
      <c r="A133" t="str">
        <f>IF(B132="","",_xlfn.XLOOKUP(B133,'Raw'!C:C,'Raw'!B:B))</f>
        <v>Munnar</v>
      </c>
      <c r="B133" t="str">
        <v>KL126</v>
      </c>
      <c r="C133" t="str">
        <f>IF(B133="","",VLOOKUP(B133,RAW[[Hotel Code]:[Hotel / Resort Name ]],2,0))</f>
        <v>Sprise Munnar Resort &amp; Spa</v>
      </c>
    </row>
    <row r="134" spans="1:3" x14ac:dyDescent="0.25">
      <c r="A134" t="str">
        <f>IF(B133="","",_xlfn.XLOOKUP(B134,'Raw'!C:C,'Raw'!B:B))</f>
        <v>Munnar</v>
      </c>
      <c r="B134" t="str">
        <v>KL127</v>
      </c>
      <c r="C134" t="str">
        <f>IF(B134="","",VLOOKUP(B134,RAW[[Hotel Code]:[Hotel / Resort Name ]],2,0))</f>
        <v>Sprise Munnar Resort &amp; Spa</v>
      </c>
    </row>
    <row r="135" spans="1:3" x14ac:dyDescent="0.25">
      <c r="A135" t="str">
        <f>IF(B134="","",_xlfn.XLOOKUP(B135,'Raw'!C:C,'Raw'!B:B))</f>
        <v>Kochi</v>
      </c>
      <c r="B135" t="str">
        <v>KL128</v>
      </c>
      <c r="C135" t="str">
        <f>IF(B135="","",VLOOKUP(B135,RAW[[Hotel Code]:[Hotel / Resort Name ]],2,0))</f>
        <v>Broad Bean Hotel</v>
      </c>
    </row>
    <row r="136" spans="1:3" x14ac:dyDescent="0.25">
      <c r="A136" t="str">
        <f>IF(B135="","",_xlfn.XLOOKUP(B136,'Raw'!C:C,'Raw'!B:B))</f>
        <v>Kochi</v>
      </c>
      <c r="B136" t="str">
        <v>KL129</v>
      </c>
      <c r="C136" t="str">
        <f>IF(B136="","",VLOOKUP(B136,RAW[[Hotel Code]:[Hotel / Resort Name ]],2,0))</f>
        <v>Broad Bean Hotel</v>
      </c>
    </row>
    <row r="137" spans="1:3" x14ac:dyDescent="0.25">
      <c r="A137" t="str">
        <f>IF(B136="","",_xlfn.XLOOKUP(B137,'Raw'!C:C,'Raw'!B:B))</f>
        <v>Kochi</v>
      </c>
      <c r="B137" t="str">
        <v>KL130</v>
      </c>
      <c r="C137" t="str">
        <f>IF(B137="","",VLOOKUP(B137,RAW[[Hotel Code]:[Hotel / Resort Name ]],2,0))</f>
        <v>Broad Bean Hotel</v>
      </c>
    </row>
    <row r="138" spans="1:3" x14ac:dyDescent="0.25">
      <c r="A138" t="str">
        <f>IF(B137="","",_xlfn.XLOOKUP(B138,'Raw'!C:C,'Raw'!B:B))</f>
        <v>Kochi</v>
      </c>
      <c r="B138" t="str">
        <v>KL131</v>
      </c>
      <c r="C138" t="str">
        <f>IF(B138="","",VLOOKUP(B138,RAW[[Hotel Code]:[Hotel / Resort Name ]],2,0))</f>
        <v>Broad Bean Hotel</v>
      </c>
    </row>
    <row r="139" spans="1:3" x14ac:dyDescent="0.25">
      <c r="A139" t="str">
        <f>IF(B138="","",_xlfn.XLOOKUP(B139,'Raw'!C:C,'Raw'!B:B))</f>
        <v>Kochi</v>
      </c>
      <c r="B139" t="str">
        <v>KL132</v>
      </c>
      <c r="C139" t="str">
        <f>IF(B139="","",VLOOKUP(B139,RAW[[Hotel Code]:[Hotel / Resort Name ]],2,0))</f>
        <v>Broad Bean Hotel</v>
      </c>
    </row>
    <row r="140" spans="1:3" x14ac:dyDescent="0.25">
      <c r="A140" t="str">
        <f>IF(B139="","",_xlfn.XLOOKUP(B140,'Raw'!C:C,'Raw'!B:B))</f>
        <v>Kochi</v>
      </c>
      <c r="B140" t="str">
        <v>KL133</v>
      </c>
      <c r="C140" t="str">
        <f>IF(B140="","",VLOOKUP(B140,RAW[[Hotel Code]:[Hotel / Resort Name ]],2,0))</f>
        <v>Broad Bean Hotel</v>
      </c>
    </row>
    <row r="141" spans="1:3" x14ac:dyDescent="0.25">
      <c r="A141" t="str">
        <f>IF(B140="","",_xlfn.XLOOKUP(B141,'Raw'!C:C,'Raw'!B:B))</f>
        <v>Kochi</v>
      </c>
      <c r="B141" t="str">
        <v>KL134</v>
      </c>
      <c r="C141" t="str">
        <f>IF(B141="","",VLOOKUP(B141,RAW[[Hotel Code]:[Hotel / Resort Name ]],2,0))</f>
        <v>Broad Bean Hotel</v>
      </c>
    </row>
    <row r="142" spans="1:3" x14ac:dyDescent="0.25">
      <c r="A142" t="str">
        <f>IF(B141="","",_xlfn.XLOOKUP(B142,'Raw'!C:C,'Raw'!B:B))</f>
        <v>Kochi</v>
      </c>
      <c r="B142" t="str">
        <v>KL135</v>
      </c>
      <c r="C142" t="str">
        <f>IF(B142="","",VLOOKUP(B142,RAW[[Hotel Code]:[Hotel / Resort Name ]],2,0))</f>
        <v>Broad Bean Hotel</v>
      </c>
    </row>
    <row r="143" spans="1:3" x14ac:dyDescent="0.25">
      <c r="A143" t="str">
        <f>IF(B142="","",_xlfn.XLOOKUP(B143,'Raw'!C:C,'Raw'!B:B))</f>
        <v>Munnar</v>
      </c>
      <c r="B143" t="str">
        <v>KL136</v>
      </c>
      <c r="C143" t="str">
        <f>IF(B143="","",VLOOKUP(B143,RAW[[Hotel Code]:[Hotel / Resort Name ]],2,0))</f>
        <v xml:space="preserve">The Breeze Resort </v>
      </c>
    </row>
    <row r="144" spans="1:3" x14ac:dyDescent="0.25">
      <c r="A144" t="str">
        <f>IF(B143="","",_xlfn.XLOOKUP(B144,'Raw'!C:C,'Raw'!B:B))</f>
        <v>Munnar</v>
      </c>
      <c r="B144" t="str">
        <v>KL137</v>
      </c>
      <c r="C144" t="str">
        <f>IF(B144="","",VLOOKUP(B144,RAW[[Hotel Code]:[Hotel / Resort Name ]],2,0))</f>
        <v xml:space="preserve">The Breeze Resort </v>
      </c>
    </row>
    <row r="145" spans="1:3" x14ac:dyDescent="0.25">
      <c r="A145" t="str">
        <f>IF(B144="","",_xlfn.XLOOKUP(B145,'Raw'!C:C,'Raw'!B:B))</f>
        <v>Kovalam</v>
      </c>
      <c r="B145" t="str">
        <v>KL138</v>
      </c>
      <c r="C145" t="str">
        <f>IF(B145="","",VLOOKUP(B145,RAW[[Hotel Code]:[Hotel / Resort Name ]],2,0))</f>
        <v>Jeevan Beach Resort</v>
      </c>
    </row>
    <row r="146" spans="1:3" x14ac:dyDescent="0.25">
      <c r="A146" t="str">
        <f>IF(B145="","",_xlfn.XLOOKUP(B146,'Raw'!C:C,'Raw'!B:B))</f>
        <v>Kovalam</v>
      </c>
      <c r="B146" t="str">
        <v>KL139</v>
      </c>
      <c r="C146" t="str">
        <f>IF(B146="","",VLOOKUP(B146,RAW[[Hotel Code]:[Hotel / Resort Name ]],2,0))</f>
        <v>Jeevan Beach Resort</v>
      </c>
    </row>
    <row r="147" spans="1:3" x14ac:dyDescent="0.25">
      <c r="A147" t="str">
        <f>IF(B146="","",_xlfn.XLOOKUP(B147,'Raw'!C:C,'Raw'!B:B))</f>
        <v>Kovalam</v>
      </c>
      <c r="B147" t="str">
        <v>KL140</v>
      </c>
      <c r="C147" t="str">
        <f>IF(B147="","",VLOOKUP(B147,RAW[[Hotel Code]:[Hotel / Resort Name ]],2,0))</f>
        <v>Jeevan Beach Resort</v>
      </c>
    </row>
    <row r="148" spans="1:3" x14ac:dyDescent="0.25">
      <c r="A148" t="str">
        <f>IF(B147="","",_xlfn.XLOOKUP(B148,'Raw'!C:C,'Raw'!B:B))</f>
        <v>Munnar</v>
      </c>
      <c r="B148" t="str">
        <v>KL141</v>
      </c>
      <c r="C148" t="str">
        <f>IF(B148="","",VLOOKUP(B148,RAW[[Hotel Code]:[Hotel / Resort Name ]],2,0))</f>
        <v>Blossom Hill Resort</v>
      </c>
    </row>
    <row r="149" spans="1:3" x14ac:dyDescent="0.25">
      <c r="A149" t="str">
        <f>IF(B148="","",_xlfn.XLOOKUP(B149,'Raw'!C:C,'Raw'!B:B))</f>
        <v>Munnar</v>
      </c>
      <c r="B149" t="str">
        <v>KL142</v>
      </c>
      <c r="C149" t="str">
        <f>IF(B149="","",VLOOKUP(B149,RAW[[Hotel Code]:[Hotel / Resort Name ]],2,0))</f>
        <v>Blossom Hill Resort</v>
      </c>
    </row>
    <row r="150" spans="1:3" x14ac:dyDescent="0.25">
      <c r="A150" t="str">
        <f>IF(B149="","",_xlfn.XLOOKUP(B150,'Raw'!C:C,'Raw'!B:B))</f>
        <v>Kovalam</v>
      </c>
      <c r="B150" t="str">
        <v>KL143</v>
      </c>
      <c r="C150" t="str">
        <f>IF(B150="","",VLOOKUP(B150,RAW[[Hotel Code]:[Hotel / Resort Name ]],2,0))</f>
        <v>Lagoona Beach Resort</v>
      </c>
    </row>
    <row r="151" spans="1:3" x14ac:dyDescent="0.25">
      <c r="A151" t="str">
        <f>IF(B150="","",_xlfn.XLOOKUP(B151,'Raw'!C:C,'Raw'!B:B))</f>
        <v>Kovalam</v>
      </c>
      <c r="B151" t="str">
        <v>KL144</v>
      </c>
      <c r="C151" t="str">
        <f>IF(B151="","",VLOOKUP(B151,RAW[[Hotel Code]:[Hotel / Resort Name ]],2,0))</f>
        <v>Lagoona Beach Resort</v>
      </c>
    </row>
    <row r="152" spans="1:3" x14ac:dyDescent="0.25">
      <c r="A152" t="str">
        <f>IF(B151="","",_xlfn.XLOOKUP(B152,'Raw'!C:C,'Raw'!B:B))</f>
        <v>Kovalam</v>
      </c>
      <c r="B152" t="str">
        <v>KL145</v>
      </c>
      <c r="C152" t="str">
        <f>IF(B152="","",VLOOKUP(B152,RAW[[Hotel Code]:[Hotel / Resort Name ]],2,0))</f>
        <v>Lagoona Beach Resort</v>
      </c>
    </row>
    <row r="153" spans="1:3" x14ac:dyDescent="0.25">
      <c r="A153" t="str">
        <f>IF(B152="","",_xlfn.XLOOKUP(B153,'Raw'!C:C,'Raw'!B:B))</f>
        <v>Kovalam</v>
      </c>
      <c r="B153" t="str">
        <v>KL146</v>
      </c>
      <c r="C153" t="str">
        <f>IF(B153="","",VLOOKUP(B153,RAW[[Hotel Code]:[Hotel / Resort Name ]],2,0))</f>
        <v>Lagoona Beach Resort</v>
      </c>
    </row>
    <row r="154" spans="1:3" x14ac:dyDescent="0.25">
      <c r="A154" t="str">
        <f>IF(B153="","",_xlfn.XLOOKUP(B154,'Raw'!C:C,'Raw'!B:B))</f>
        <v>Kovalam</v>
      </c>
      <c r="B154" t="str">
        <v>KL147</v>
      </c>
      <c r="C154" t="str">
        <f>IF(B154="","",VLOOKUP(B154,RAW[[Hotel Code]:[Hotel / Resort Name ]],2,0))</f>
        <v>Lagoona Beach Resort</v>
      </c>
    </row>
    <row r="155" spans="1:3" x14ac:dyDescent="0.25">
      <c r="A155" t="str">
        <f>IF(B154="","",_xlfn.XLOOKUP(B155,'Raw'!C:C,'Raw'!B:B))</f>
        <v>Kovalam</v>
      </c>
      <c r="B155" t="str">
        <v>KL148</v>
      </c>
      <c r="C155" t="str">
        <f>IF(B155="","",VLOOKUP(B155,RAW[[Hotel Code]:[Hotel / Resort Name ]],2,0))</f>
        <v>Lagoona Beach Resort</v>
      </c>
    </row>
    <row r="156" spans="1:3" x14ac:dyDescent="0.25">
      <c r="A156" t="str">
        <f>IF(B155="","",_xlfn.XLOOKUP(B156,'Raw'!C:C,'Raw'!B:B))</f>
        <v>Kovalam</v>
      </c>
      <c r="B156" t="str">
        <v>KL149</v>
      </c>
      <c r="C156" t="str">
        <f>IF(B156="","",VLOOKUP(B156,RAW[[Hotel Code]:[Hotel / Resort Name ]],2,0))</f>
        <v>Lagoona Beach Resort</v>
      </c>
    </row>
    <row r="157" spans="1:3" x14ac:dyDescent="0.25">
      <c r="A157" t="str">
        <f>IF(B156="","",_xlfn.XLOOKUP(B157,'Raw'!C:C,'Raw'!B:B))</f>
        <v>Kovalam</v>
      </c>
      <c r="B157" t="str">
        <v>KL150</v>
      </c>
      <c r="C157" t="str">
        <f>IF(B157="","",VLOOKUP(B157,RAW[[Hotel Code]:[Hotel / Resort Name ]],2,0))</f>
        <v>Lagoona Beach Resort</v>
      </c>
    </row>
    <row r="158" spans="1:3" x14ac:dyDescent="0.25">
      <c r="A158" t="str">
        <f>IF(B157="","",_xlfn.XLOOKUP(B158,'Raw'!C:C,'Raw'!B:B))</f>
        <v>Kovalam</v>
      </c>
      <c r="B158" t="str">
        <v>KL151</v>
      </c>
      <c r="C158" t="str">
        <f>IF(B158="","",VLOOKUP(B158,RAW[[Hotel Code]:[Hotel / Resort Name ]],2,0))</f>
        <v>Lagoona Beach Resort</v>
      </c>
    </row>
    <row r="159" spans="1:3" x14ac:dyDescent="0.25">
      <c r="A159" t="str">
        <f>IF(B158="","",_xlfn.XLOOKUP(B159,'Raw'!C:C,'Raw'!B:B))</f>
        <v>Munnar</v>
      </c>
      <c r="B159" t="str">
        <v>KL152</v>
      </c>
      <c r="C159" t="str">
        <f>IF(B159="","",VLOOKUP(B159,RAW[[Hotel Code]:[Hotel / Resort Name ]],2,0))</f>
        <v>The Whispering Meadows</v>
      </c>
    </row>
    <row r="160" spans="1:3" x14ac:dyDescent="0.25">
      <c r="A160" t="str">
        <f>IF(B159="","",_xlfn.XLOOKUP(B160,'Raw'!C:C,'Raw'!B:B))</f>
        <v>Munnar</v>
      </c>
      <c r="B160" t="str">
        <v>KL153</v>
      </c>
      <c r="C160" t="str">
        <f>IF(B160="","",VLOOKUP(B160,RAW[[Hotel Code]:[Hotel / Resort Name ]],2,0))</f>
        <v>The Whispering Meadows</v>
      </c>
    </row>
    <row r="161" spans="1:3" x14ac:dyDescent="0.25">
      <c r="A161" t="str">
        <f>IF(B160="","",_xlfn.XLOOKUP(B161,'Raw'!C:C,'Raw'!B:B))</f>
        <v>Munnar</v>
      </c>
      <c r="B161" t="str">
        <v>KL154</v>
      </c>
      <c r="C161" t="str">
        <f>IF(B161="","",VLOOKUP(B161,RAW[[Hotel Code]:[Hotel / Resort Name ]],2,0))</f>
        <v>The Whispering Meadows</v>
      </c>
    </row>
    <row r="162" spans="1:3" x14ac:dyDescent="0.25">
      <c r="A162" t="str">
        <f>IF(B161="","",_xlfn.XLOOKUP(B162,'Raw'!C:C,'Raw'!B:B))</f>
        <v>Kochi</v>
      </c>
      <c r="B162" t="str">
        <v>KL155</v>
      </c>
      <c r="C162" t="str">
        <f>IF(B162="","",VLOOKUP(B162,RAW[[Hotel Code]:[Hotel / Resort Name ]],2,0))</f>
        <v>Napier Heritage Fort</v>
      </c>
    </row>
    <row r="163" spans="1:3" x14ac:dyDescent="0.25">
      <c r="A163" t="str">
        <f>IF(B162="","",_xlfn.XLOOKUP(B163,'Raw'!C:C,'Raw'!B:B))</f>
        <v>Kochi</v>
      </c>
      <c r="B163" t="str">
        <v>KL156</v>
      </c>
      <c r="C163" t="str">
        <f>IF(B163="","",VLOOKUP(B163,RAW[[Hotel Code]:[Hotel / Resort Name ]],2,0))</f>
        <v>Napier Heritage Fort</v>
      </c>
    </row>
    <row r="164" spans="1:3" x14ac:dyDescent="0.25">
      <c r="A164" t="str">
        <f>IF(B163="","",_xlfn.XLOOKUP(B164,'Raw'!C:C,'Raw'!B:B))</f>
        <v>Kochi</v>
      </c>
      <c r="B164" t="str">
        <v>KL157</v>
      </c>
      <c r="C164" t="str">
        <f>IF(B164="","",VLOOKUP(B164,RAW[[Hotel Code]:[Hotel / Resort Name ]],2,0))</f>
        <v>Napier Heritage Fort</v>
      </c>
    </row>
    <row r="165" spans="1:3" x14ac:dyDescent="0.25">
      <c r="A165" t="str">
        <f>IF(B164="","",_xlfn.XLOOKUP(B165,'Raw'!C:C,'Raw'!B:B))</f>
        <v>Kochi</v>
      </c>
      <c r="B165" t="str">
        <v>KL158</v>
      </c>
      <c r="C165" t="str">
        <f>IF(B165="","",VLOOKUP(B165,RAW[[Hotel Code]:[Hotel / Resort Name ]],2,0))</f>
        <v>Napier Heritage Fort</v>
      </c>
    </row>
    <row r="166" spans="1:3" x14ac:dyDescent="0.25">
      <c r="A166" t="str">
        <f>IF(B165="","",_xlfn.XLOOKUP(B166,'Raw'!C:C,'Raw'!B:B))</f>
        <v>Kochi</v>
      </c>
      <c r="B166" t="str">
        <v>KL159</v>
      </c>
      <c r="C166" t="str">
        <f>IF(B166="","",VLOOKUP(B166,RAW[[Hotel Code]:[Hotel / Resort Name ]],2,0))</f>
        <v>Napier Heritage Fort</v>
      </c>
    </row>
    <row r="167" spans="1:3" x14ac:dyDescent="0.25">
      <c r="A167" t="str">
        <f>IF(B166="","",_xlfn.XLOOKUP(B167,'Raw'!C:C,'Raw'!B:B))</f>
        <v>Kochi</v>
      </c>
      <c r="B167" t="str">
        <v>KL160</v>
      </c>
      <c r="C167" t="str">
        <f>IF(B167="","",VLOOKUP(B167,RAW[[Hotel Code]:[Hotel / Resort Name ]],2,0))</f>
        <v>Napier Heritage Fort</v>
      </c>
    </row>
    <row r="168" spans="1:3" x14ac:dyDescent="0.25">
      <c r="A168" t="str">
        <f>IF(B167="","",_xlfn.XLOOKUP(B168,'Raw'!C:C,'Raw'!B:B))</f>
        <v>Kochi</v>
      </c>
      <c r="B168" t="str">
        <v>KL161</v>
      </c>
      <c r="C168" t="str">
        <f>IF(B168="","",VLOOKUP(B168,RAW[[Hotel Code]:[Hotel / Resort Name ]],2,0))</f>
        <v>Napier Heritage Fort</v>
      </c>
    </row>
    <row r="169" spans="1:3" x14ac:dyDescent="0.25">
      <c r="A169" t="str">
        <f>IF(B168="","",_xlfn.XLOOKUP(B169,'Raw'!C:C,'Raw'!B:B))</f>
        <v>Kochi</v>
      </c>
      <c r="B169" t="str">
        <v>KL162</v>
      </c>
      <c r="C169" t="str">
        <f>IF(B169="","",VLOOKUP(B169,RAW[[Hotel Code]:[Hotel / Resort Name ]],2,0))</f>
        <v>Napier Heritage Fort</v>
      </c>
    </row>
    <row r="170" spans="1:3" x14ac:dyDescent="0.25">
      <c r="A170" t="str">
        <f>IF(B169="","",_xlfn.XLOOKUP(B170,'Raw'!C:C,'Raw'!B:B))</f>
        <v>Kochi</v>
      </c>
      <c r="B170" t="str">
        <v>KL163</v>
      </c>
      <c r="C170" t="str">
        <f>IF(B170="","",VLOOKUP(B170,RAW[[Hotel Code]:[Hotel / Resort Name ]],2,0))</f>
        <v>Napier Heritage Fort</v>
      </c>
    </row>
    <row r="171" spans="1:3" x14ac:dyDescent="0.25">
      <c r="A171" t="str">
        <f>IF(B170="","",_xlfn.XLOOKUP(B171,'Raw'!C:C,'Raw'!B:B))</f>
        <v>Kochi</v>
      </c>
      <c r="B171" t="str">
        <v>KL164</v>
      </c>
      <c r="C171" t="str">
        <f>IF(B171="","",VLOOKUP(B171,RAW[[Hotel Code]:[Hotel / Resort Name ]],2,0))</f>
        <v>Napier Heritage Fort</v>
      </c>
    </row>
    <row r="172" spans="1:3" x14ac:dyDescent="0.25">
      <c r="A172" t="str">
        <f>IF(B171="","",_xlfn.XLOOKUP(B172,'Raw'!C:C,'Raw'!B:B))</f>
        <v>Alleppey</v>
      </c>
      <c r="B172" t="str">
        <v>KL165</v>
      </c>
      <c r="C172" t="str">
        <f>IF(B172="","",VLOOKUP(B172,RAW[[Hotel Code]:[Hotel / Resort Name ]],2,0))</f>
        <v>Trium Resort &amp; Houseboats</v>
      </c>
    </row>
    <row r="173" spans="1:3" x14ac:dyDescent="0.25">
      <c r="A173" t="str">
        <f>IF(B172="","",_xlfn.XLOOKUP(B173,'Raw'!C:C,'Raw'!B:B))</f>
        <v>Alleppey</v>
      </c>
      <c r="B173" t="str">
        <v>KL166</v>
      </c>
      <c r="C173" t="str">
        <f>IF(B173="","",VLOOKUP(B173,RAW[[Hotel Code]:[Hotel / Resort Name ]],2,0))</f>
        <v>Trium Resort &amp; Houseboats</v>
      </c>
    </row>
    <row r="174" spans="1:3" x14ac:dyDescent="0.25">
      <c r="A174" t="str">
        <f>IF(B173="","",_xlfn.XLOOKUP(B174,'Raw'!C:C,'Raw'!B:B))</f>
        <v>Alleppey</v>
      </c>
      <c r="B174" t="str">
        <v>KL167</v>
      </c>
      <c r="C174" t="str">
        <f>IF(B174="","",VLOOKUP(B174,RAW[[Hotel Code]:[Hotel / Resort Name ]],2,0))</f>
        <v>Trium Resort &amp; Houseboats</v>
      </c>
    </row>
    <row r="175" spans="1:3" x14ac:dyDescent="0.25">
      <c r="A175" t="str">
        <f>IF(B174="","",_xlfn.XLOOKUP(B175,'Raw'!C:C,'Raw'!B:B))</f>
        <v>Alleppey</v>
      </c>
      <c r="B175" t="str">
        <v>KL168</v>
      </c>
      <c r="C175" t="str">
        <f>IF(B175="","",VLOOKUP(B175,RAW[[Hotel Code]:[Hotel / Resort Name ]],2,0))</f>
        <v>Trium Resort &amp; Houseboats</v>
      </c>
    </row>
    <row r="176" spans="1:3" x14ac:dyDescent="0.25">
      <c r="A176" t="str">
        <f>IF(B175="","",_xlfn.XLOOKUP(B176,'Raw'!C:C,'Raw'!B:B))</f>
        <v>Alleppey</v>
      </c>
      <c r="B176" t="str">
        <v>KL169</v>
      </c>
      <c r="C176" t="str">
        <f>IF(B176="","",VLOOKUP(B176,RAW[[Hotel Code]:[Hotel / Resort Name ]],2,0))</f>
        <v>Trium Resort &amp; Houseboats</v>
      </c>
    </row>
    <row r="177" spans="1:3" x14ac:dyDescent="0.25">
      <c r="A177" t="str">
        <f>IF(B176="","",_xlfn.XLOOKUP(B177,'Raw'!C:C,'Raw'!B:B))</f>
        <v>Alleppey</v>
      </c>
      <c r="B177" t="str">
        <v>KL170</v>
      </c>
      <c r="C177" t="str">
        <f>IF(B177="","",VLOOKUP(B177,RAW[[Hotel Code]:[Hotel / Resort Name ]],2,0))</f>
        <v>Trium Resort &amp; Houseboats</v>
      </c>
    </row>
    <row r="178" spans="1:3" x14ac:dyDescent="0.25">
      <c r="A178" t="str">
        <f>IF(B177="","",_xlfn.XLOOKUP(B178,'Raw'!C:C,'Raw'!B:B))</f>
        <v>Alleppey</v>
      </c>
      <c r="B178" t="str">
        <v>KL171</v>
      </c>
      <c r="C178" t="str">
        <f>IF(B178="","",VLOOKUP(B178,RAW[[Hotel Code]:[Hotel / Resort Name ]],2,0))</f>
        <v>Trium Deluxe Houseboats</v>
      </c>
    </row>
    <row r="179" spans="1:3" x14ac:dyDescent="0.25">
      <c r="A179" t="str">
        <f>IF(B178="","",_xlfn.XLOOKUP(B179,'Raw'!C:C,'Raw'!B:B))</f>
        <v>Alleppey</v>
      </c>
      <c r="B179" t="str">
        <v>KL172</v>
      </c>
      <c r="C179" t="str">
        <f>IF(B179="","",VLOOKUP(B179,RAW[[Hotel Code]:[Hotel / Resort Name ]],2,0))</f>
        <v>Trium Deluxe Houseboats</v>
      </c>
    </row>
    <row r="180" spans="1:3" x14ac:dyDescent="0.25">
      <c r="A180" t="str">
        <f>IF(B179="","",_xlfn.XLOOKUP(B180,'Raw'!C:C,'Raw'!B:B))</f>
        <v>Alleppey</v>
      </c>
      <c r="B180" t="str">
        <v>KL173</v>
      </c>
      <c r="C180" t="str">
        <f>IF(B180="","",VLOOKUP(B180,RAW[[Hotel Code]:[Hotel / Resort Name ]],2,0))</f>
        <v>Trium Preimum Houseboats</v>
      </c>
    </row>
    <row r="181" spans="1:3" x14ac:dyDescent="0.25">
      <c r="A181" t="str">
        <f>IF(B180="","",_xlfn.XLOOKUP(B181,'Raw'!C:C,'Raw'!B:B))</f>
        <v>Alleppey</v>
      </c>
      <c r="B181" t="str">
        <v>KL174</v>
      </c>
      <c r="C181" t="str">
        <f>IF(B181="","",VLOOKUP(B181,RAW[[Hotel Code]:[Hotel / Resort Name ]],2,0))</f>
        <v>Trium Preimum Houseboats</v>
      </c>
    </row>
    <row r="182" spans="1:3" x14ac:dyDescent="0.25">
      <c r="A182" t="str">
        <f>IF(B181="","",_xlfn.XLOOKUP(B182,'Raw'!C:C,'Raw'!B:B))</f>
        <v>Kovalam</v>
      </c>
      <c r="B182" t="str">
        <v>KL175</v>
      </c>
      <c r="C182" t="str">
        <f>IF(B182="","",VLOOKUP(B182,RAW[[Hotel Code]:[Hotel / Resort Name ]],2,0))</f>
        <v>Ocean Bay Ayurvedic Beach Resort</v>
      </c>
    </row>
    <row r="183" spans="1:3" x14ac:dyDescent="0.25">
      <c r="A183" t="str">
        <f>IF(B182="","",_xlfn.XLOOKUP(B183,'Raw'!C:C,'Raw'!B:B))</f>
        <v>Kovalam</v>
      </c>
      <c r="B183" t="str">
        <v>KL176</v>
      </c>
      <c r="C183" t="str">
        <f>IF(B183="","",VLOOKUP(B183,RAW[[Hotel Code]:[Hotel / Resort Name ]],2,0))</f>
        <v>Ocean Bay Ayurvedic Beach Resort</v>
      </c>
    </row>
    <row r="184" spans="1:3" x14ac:dyDescent="0.25">
      <c r="A184" t="str">
        <f>IF(B183="","",_xlfn.XLOOKUP(B184,'Raw'!C:C,'Raw'!B:B))</f>
        <v>Kovalam</v>
      </c>
      <c r="B184" t="str">
        <v>KL177</v>
      </c>
      <c r="C184" t="str">
        <f>IF(B184="","",VLOOKUP(B184,RAW[[Hotel Code]:[Hotel / Resort Name ]],2,0))</f>
        <v>Ocean Bay Ayurvedic Beach Resort</v>
      </c>
    </row>
    <row r="185" spans="1:3" x14ac:dyDescent="0.25">
      <c r="A185" t="str">
        <f>IF(B184="","",_xlfn.XLOOKUP(B185,'Raw'!C:C,'Raw'!B:B))</f>
        <v>Kovalam</v>
      </c>
      <c r="B185" t="str">
        <v>KL178</v>
      </c>
      <c r="C185" t="str">
        <f>IF(B185="","",VLOOKUP(B185,RAW[[Hotel Code]:[Hotel / Resort Name ]],2,0))</f>
        <v>Ocean Bay Ayurvedic Beach Resort</v>
      </c>
    </row>
    <row r="186" spans="1:3" x14ac:dyDescent="0.25">
      <c r="A186" t="str">
        <f>IF(B185="","",_xlfn.XLOOKUP(B186,'Raw'!C:C,'Raw'!B:B))</f>
        <v>Kovalam</v>
      </c>
      <c r="B186" t="str">
        <v>KL179</v>
      </c>
      <c r="C186" t="str">
        <f>IF(B186="","",VLOOKUP(B186,RAW[[Hotel Code]:[Hotel / Resort Name ]],2,0))</f>
        <v>Ocean Bay Ayurvedic Beach Resort</v>
      </c>
    </row>
    <row r="187" spans="1:3" x14ac:dyDescent="0.25">
      <c r="A187" t="str">
        <f>IF(B186="","",_xlfn.XLOOKUP(B187,'Raw'!C:C,'Raw'!B:B))</f>
        <v>Kovalam</v>
      </c>
      <c r="B187" t="str">
        <v>KL180</v>
      </c>
      <c r="C187" t="str">
        <f>IF(B187="","",VLOOKUP(B187,RAW[[Hotel Code]:[Hotel / Resort Name ]],2,0))</f>
        <v>Aadisaktthi Resort</v>
      </c>
    </row>
    <row r="188" spans="1:3" x14ac:dyDescent="0.25">
      <c r="A188" t="str">
        <f>IF(B187="","",_xlfn.XLOOKUP(B188,'Raw'!C:C,'Raw'!B:B))</f>
        <v>Kovalam</v>
      </c>
      <c r="B188" t="str">
        <v>KL181</v>
      </c>
      <c r="C188" t="str">
        <f>IF(B188="","",VLOOKUP(B188,RAW[[Hotel Code]:[Hotel / Resort Name ]],2,0))</f>
        <v>Aadisaktthi Resort</v>
      </c>
    </row>
    <row r="189" spans="1:3" x14ac:dyDescent="0.25">
      <c r="A189" t="str">
        <f>IF(B188="","",_xlfn.XLOOKUP(B189,'Raw'!C:C,'Raw'!B:B))</f>
        <v>Kovalam</v>
      </c>
      <c r="B189" t="str">
        <v>KL182</v>
      </c>
      <c r="C189" t="str">
        <f>IF(B189="","",VLOOKUP(B189,RAW[[Hotel Code]:[Hotel / Resort Name ]],2,0))</f>
        <v>Aadisaktthi Resort</v>
      </c>
    </row>
    <row r="190" spans="1:3" x14ac:dyDescent="0.25">
      <c r="A190" t="str">
        <f>IF(B189="","",_xlfn.XLOOKUP(B190,'Raw'!C:C,'Raw'!B:B))</f>
        <v>Kovalam</v>
      </c>
      <c r="B190" t="str">
        <v>KL183</v>
      </c>
      <c r="C190" t="str">
        <f>IF(B190="","",VLOOKUP(B190,RAW[[Hotel Code]:[Hotel / Resort Name ]],2,0))</f>
        <v>Aadisaktthi Resort</v>
      </c>
    </row>
    <row r="191" spans="1:3" x14ac:dyDescent="0.25">
      <c r="A191" t="str">
        <f>IF(B190="","",_xlfn.XLOOKUP(B191,'Raw'!C:C,'Raw'!B:B))</f>
        <v>Kovalam</v>
      </c>
      <c r="B191" t="str">
        <v>KL184</v>
      </c>
      <c r="C191" t="str">
        <f>IF(B191="","",VLOOKUP(B191,RAW[[Hotel Code]:[Hotel / Resort Name ]],2,0))</f>
        <v>Aadisaktthi Resort</v>
      </c>
    </row>
    <row r="192" spans="1:3" x14ac:dyDescent="0.25">
      <c r="A192" t="str">
        <f>IF(B191="","",_xlfn.XLOOKUP(B192,'Raw'!C:C,'Raw'!B:B))</f>
        <v>Kovalam</v>
      </c>
      <c r="B192" t="str">
        <v>KL185</v>
      </c>
      <c r="C192" t="str">
        <f>IF(B192="","",VLOOKUP(B192,RAW[[Hotel Code]:[Hotel / Resort Name ]],2,0))</f>
        <v>Aadisaktthi Resort</v>
      </c>
    </row>
    <row r="193" spans="1:3" x14ac:dyDescent="0.25">
      <c r="A193" t="str">
        <f>IF(B192="","",_xlfn.XLOOKUP(B193,'Raw'!C:C,'Raw'!B:B))</f>
        <v>Kovalam</v>
      </c>
      <c r="B193" t="str">
        <v>KL186</v>
      </c>
      <c r="C193" t="str">
        <f>IF(B193="","",VLOOKUP(B193,RAW[[Hotel Code]:[Hotel / Resort Name ]],2,0))</f>
        <v>Aadisaktthi Resort</v>
      </c>
    </row>
    <row r="194" spans="1:3" x14ac:dyDescent="0.25">
      <c r="A194" t="str">
        <f>IF(B193="","",_xlfn.XLOOKUP(B194,'Raw'!C:C,'Raw'!B:B))</f>
        <v>Kovalam</v>
      </c>
      <c r="B194" t="str">
        <v>KL187</v>
      </c>
      <c r="C194" t="str">
        <f>IF(B194="","",VLOOKUP(B194,RAW[[Hotel Code]:[Hotel / Resort Name ]],2,0))</f>
        <v>Aadisaktthi Resort</v>
      </c>
    </row>
    <row r="195" spans="1:3" x14ac:dyDescent="0.25">
      <c r="A195" t="str">
        <f>IF(B194="","",_xlfn.XLOOKUP(B195,'Raw'!C:C,'Raw'!B:B))</f>
        <v>Kovalam</v>
      </c>
      <c r="B195" t="str">
        <v>KL188</v>
      </c>
      <c r="C195" t="str">
        <f>IF(B195="","",VLOOKUP(B195,RAW[[Hotel Code]:[Hotel / Resort Name ]],2,0))</f>
        <v>Aadisaktthi Resort</v>
      </c>
    </row>
    <row r="196" spans="1:3" x14ac:dyDescent="0.25">
      <c r="A196" t="str">
        <f>IF(B195="","",_xlfn.XLOOKUP(B196,'Raw'!C:C,'Raw'!B:B))</f>
        <v>Alleppey</v>
      </c>
      <c r="B196" t="str">
        <v>KL189</v>
      </c>
      <c r="C196" t="str">
        <f>IF(B196="","",VLOOKUP(B196,RAW[[Hotel Code]:[Hotel / Resort Name ]],2,0))</f>
        <v>Miraaya Sundara Island Villa</v>
      </c>
    </row>
    <row r="197" spans="1:3" x14ac:dyDescent="0.25">
      <c r="A197" t="str">
        <f>IF(B196="","",_xlfn.XLOOKUP(B197,'Raw'!C:C,'Raw'!B:B))</f>
        <v>Alleppey</v>
      </c>
      <c r="B197" t="str">
        <v>KL190</v>
      </c>
      <c r="C197" t="str">
        <f>IF(B197="","",VLOOKUP(B197,RAW[[Hotel Code]:[Hotel / Resort Name ]],2,0))</f>
        <v>Miraaya Sundara Island Villa</v>
      </c>
    </row>
    <row r="198" spans="1:3" x14ac:dyDescent="0.25">
      <c r="A198" t="str">
        <f>IF(B197="","",_xlfn.XLOOKUP(B198,'Raw'!C:C,'Raw'!B:B))</f>
        <v>Alleppey</v>
      </c>
      <c r="B198" t="str">
        <v>KL191</v>
      </c>
      <c r="C198" t="str">
        <f>IF(B198="","",VLOOKUP(B198,RAW[[Hotel Code]:[Hotel / Resort Name ]],2,0))</f>
        <v>Miraaya Sundara Island Villa</v>
      </c>
    </row>
    <row r="199" spans="1:3" x14ac:dyDescent="0.25">
      <c r="A199" t="str">
        <f>IF(B198="","",_xlfn.XLOOKUP(B199,'Raw'!C:C,'Raw'!B:B))</f>
        <v>Alleppey</v>
      </c>
      <c r="B199" t="str">
        <v>KL192</v>
      </c>
      <c r="C199" t="str">
        <f>IF(B199="","",VLOOKUP(B199,RAW[[Hotel Code]:[Hotel / Resort Name ]],2,0))</f>
        <v>Miraaya Sundara Island Villa</v>
      </c>
    </row>
    <row r="200" spans="1:3" x14ac:dyDescent="0.25">
      <c r="A200" t="str">
        <f>IF(B199="","",_xlfn.XLOOKUP(B200,'Raw'!C:C,'Raw'!B:B))</f>
        <v>Alleppey</v>
      </c>
      <c r="B200" t="str">
        <v>KL193</v>
      </c>
      <c r="C200" t="str">
        <f>IF(B200="","",VLOOKUP(B200,RAW[[Hotel Code]:[Hotel / Resort Name ]],2,0))</f>
        <v>Miraaya Sundara Island Villa</v>
      </c>
    </row>
    <row r="201" spans="1:3" x14ac:dyDescent="0.25">
      <c r="A201">
        <f>IF(B200="","",_xlfn.XLOOKUP(B201,'Raw'!C:C,'Raw'!B:B))</f>
        <v>0</v>
      </c>
      <c r="C201" t="str">
        <f>IF(B201="","",VLOOKUP(B201,RAW[[Hotel Code]:[Hotel / Resort Name ]],2,0))</f>
        <v/>
      </c>
    </row>
    <row r="202" spans="1:3" x14ac:dyDescent="0.25">
      <c r="A202" t="str">
        <f>IF(B201="","",_xlfn.XLOOKUP(B202,'Raw'!C:C,'Raw'!B:B))</f>
        <v/>
      </c>
      <c r="C202" t="str">
        <f>IF(B202="","",VLOOKUP(B202,RAW[[Hotel Code]:[Hotel / Resort Name ]],2,0))</f>
        <v/>
      </c>
    </row>
    <row r="203" spans="1:3" x14ac:dyDescent="0.25">
      <c r="A203" t="str">
        <f>IF(B202="","",_xlfn.XLOOKUP(B203,'Raw'!C:C,'Raw'!B:B))</f>
        <v/>
      </c>
      <c r="C203" t="str">
        <f>IF(B203="","",VLOOKUP(B203,RAW[[Hotel Code]:[Hotel / Resort Name ]],2,0))</f>
        <v/>
      </c>
    </row>
    <row r="204" spans="1:3" x14ac:dyDescent="0.25">
      <c r="A204" t="str">
        <f>IF(B203="","",_xlfn.XLOOKUP(B204,'Raw'!C:C,'Raw'!B:B))</f>
        <v/>
      </c>
      <c r="C204" t="str">
        <f>IF(B204="","",VLOOKUP(B204,RAW[[Hotel Code]:[Hotel / Resort Name ]],2,0))</f>
        <v/>
      </c>
    </row>
    <row r="205" spans="1:3" x14ac:dyDescent="0.25">
      <c r="A205" t="str">
        <f>IF(B204="","",_xlfn.XLOOKUP(B205,'Raw'!C:C,'Raw'!B:B))</f>
        <v/>
      </c>
      <c r="C205" t="str">
        <f>IF(B205="","",VLOOKUP(B205,RAW[[Hotel Code]:[Hotel / Resort Name ]],2,0))</f>
        <v/>
      </c>
    </row>
    <row r="206" spans="1:3" x14ac:dyDescent="0.25">
      <c r="A206" t="str">
        <f>IF(B205="","",_xlfn.XLOOKUP(B206,'Raw'!C:C,'Raw'!B:B))</f>
        <v/>
      </c>
      <c r="C206" t="str">
        <f>IF(B206="","",VLOOKUP(B206,RAW[[Hotel Code]:[Hotel / Resort Name ]],2,0))</f>
        <v/>
      </c>
    </row>
    <row r="207" spans="1:3" x14ac:dyDescent="0.25">
      <c r="A207" t="str">
        <f>IF(B206="","",_xlfn.XLOOKUP(B207,'Raw'!C:C,'Raw'!B:B))</f>
        <v/>
      </c>
      <c r="C207" t="str">
        <f>IF(B207="","",VLOOKUP(B207,RAW[[Hotel Code]:[Hotel / Resort Name ]],2,0))</f>
        <v/>
      </c>
    </row>
    <row r="208" spans="1:3" x14ac:dyDescent="0.25">
      <c r="A208" t="str">
        <f>IF(B207="","",_xlfn.XLOOKUP(B208,'Raw'!C:C,'Raw'!B:B))</f>
        <v/>
      </c>
      <c r="C208" t="str">
        <f>IF(B208="","",VLOOKUP(B208,RAW[[Hotel Code]:[Hotel / Resort Name ]],2,0))</f>
        <v/>
      </c>
    </row>
    <row r="209" spans="1:3" x14ac:dyDescent="0.25">
      <c r="A209" t="str">
        <f>IF(B208="","",_xlfn.XLOOKUP(B209,'Raw'!C:C,'Raw'!B:B))</f>
        <v/>
      </c>
      <c r="C209" t="str">
        <f>IF(B209="","",VLOOKUP(B209,RAW[[Hotel Code]:[Hotel / Resort Name ]],2,0))</f>
        <v/>
      </c>
    </row>
    <row r="210" spans="1:3" x14ac:dyDescent="0.25">
      <c r="A210" t="str">
        <f>IF(B209="","",_xlfn.XLOOKUP(B210,'Raw'!C:C,'Raw'!B:B))</f>
        <v/>
      </c>
      <c r="C210" t="str">
        <f>IF(B210="","",VLOOKUP(B210,RAW[[Hotel Code]:[Hotel / Resort Name ]],2,0))</f>
        <v/>
      </c>
    </row>
    <row r="211" spans="1:3" x14ac:dyDescent="0.25">
      <c r="A211" t="str">
        <f>IF(B210="","",_xlfn.XLOOKUP(B211,'Raw'!C:C,'Raw'!B:B))</f>
        <v/>
      </c>
      <c r="C211" t="str">
        <f>IF(B211="","",VLOOKUP(B211,RAW[[Hotel Code]:[Hotel / Resort Name ]],2,0))</f>
        <v/>
      </c>
    </row>
    <row r="212" spans="1:3" x14ac:dyDescent="0.25">
      <c r="A212" t="str">
        <f>IF(B211="","",_xlfn.XLOOKUP(B212,'Raw'!C:C,'Raw'!B:B))</f>
        <v/>
      </c>
      <c r="C212" t="str">
        <f>IF(B212="","",VLOOKUP(B212,RAW[[Hotel Code]:[Hotel / Resort Name ]],2,0))</f>
        <v/>
      </c>
    </row>
    <row r="213" spans="1:3" x14ac:dyDescent="0.25">
      <c r="A213" t="str">
        <f>IF(B212="","",_xlfn.XLOOKUP(B213,'Raw'!C:C,'Raw'!B:B))</f>
        <v/>
      </c>
      <c r="C213" t="str">
        <f>IF(B213="","",VLOOKUP(B213,RAW[[Hotel Code]:[Hotel / Resort Name ]],2,0))</f>
        <v/>
      </c>
    </row>
    <row r="214" spans="1:3" x14ac:dyDescent="0.25">
      <c r="A214" t="str">
        <f>IF(B213="","",_xlfn.XLOOKUP(B214,'Raw'!C:C,'Raw'!B:B))</f>
        <v/>
      </c>
      <c r="C214" t="str">
        <f>IF(B214="","",VLOOKUP(B214,RAW[[Hotel Code]:[Hotel / Resort Name ]],2,0))</f>
        <v/>
      </c>
    </row>
    <row r="215" spans="1:3" x14ac:dyDescent="0.25">
      <c r="A215" t="str">
        <f>IF(B214="","",_xlfn.XLOOKUP(B215,'Raw'!C:C,'Raw'!B:B))</f>
        <v/>
      </c>
      <c r="C215" t="str">
        <f>IF(B215="","",VLOOKUP(B215,RAW[[Hotel Code]:[Hotel / Resort Name ]],2,0))</f>
        <v/>
      </c>
    </row>
    <row r="216" spans="1:3" x14ac:dyDescent="0.25">
      <c r="A216" t="str">
        <f>IF(B215="","",_xlfn.XLOOKUP(B216,'Raw'!C:C,'Raw'!B:B))</f>
        <v/>
      </c>
      <c r="C216" t="str">
        <f>IF(B216="","",VLOOKUP(B216,RAW[[Hotel Code]:[Hotel / Resort Name ]],2,0))</f>
        <v/>
      </c>
    </row>
    <row r="217" spans="1:3" x14ac:dyDescent="0.25">
      <c r="A217" t="str">
        <f>IF(B216="","",_xlfn.XLOOKUP(B217,'Raw'!C:C,'Raw'!B:B))</f>
        <v/>
      </c>
      <c r="C217" t="str">
        <f>IF(B217="","",VLOOKUP(B217,RAW[[Hotel Code]:[Hotel / Resort Name ]],2,0))</f>
        <v/>
      </c>
    </row>
    <row r="218" spans="1:3" x14ac:dyDescent="0.25">
      <c r="A218" t="str">
        <f>IF(B217="","",_xlfn.XLOOKUP(B218,'Raw'!C:C,'Raw'!B:B))</f>
        <v/>
      </c>
      <c r="C218" t="str">
        <f>IF(B218="","",VLOOKUP(B218,RAW[[Hotel Code]:[Hotel / Resort Name ]],2,0))</f>
        <v/>
      </c>
    </row>
    <row r="219" spans="1:3" x14ac:dyDescent="0.25">
      <c r="A219" t="str">
        <f>IF(B218="","",_xlfn.XLOOKUP(B219,'Raw'!C:C,'Raw'!B:B))</f>
        <v/>
      </c>
      <c r="C219" t="str">
        <f>IF(B219="","",VLOOKUP(B219,RAW[[Hotel Code]:[Hotel / Resort Name ]],2,0))</f>
        <v/>
      </c>
    </row>
    <row r="220" spans="1:3" x14ac:dyDescent="0.25">
      <c r="A220" t="str">
        <f>IF(B219="","",_xlfn.XLOOKUP(B220,'Raw'!C:C,'Raw'!B:B))</f>
        <v/>
      </c>
      <c r="C220" t="str">
        <f>IF(B220="","",VLOOKUP(B220,RAW[[Hotel Code]:[Hotel / Resort Name ]],2,0))</f>
        <v/>
      </c>
    </row>
    <row r="221" spans="1:3" x14ac:dyDescent="0.25">
      <c r="A221" t="str">
        <f>IF(B220="","",_xlfn.XLOOKUP(B221,'Raw'!C:C,'Raw'!B:B))</f>
        <v/>
      </c>
      <c r="C221" t="str">
        <f>IF(B221="","",VLOOKUP(B221,RAW[[Hotel Code]:[Hotel / Resort Name ]],2,0))</f>
        <v/>
      </c>
    </row>
    <row r="222" spans="1:3" x14ac:dyDescent="0.25">
      <c r="A222" t="str">
        <f>IF(B221="","",_xlfn.XLOOKUP(B222,'Raw'!C:C,'Raw'!B:B))</f>
        <v/>
      </c>
      <c r="C222" t="str">
        <f>IF(B222="","",VLOOKUP(B222,RAW[[Hotel Code]:[Hotel / Resort Name ]],2,0))</f>
        <v/>
      </c>
    </row>
    <row r="223" spans="1:3" x14ac:dyDescent="0.25">
      <c r="A223" t="str">
        <f>IF(B222="","",_xlfn.XLOOKUP(B223,'Raw'!C:C,'Raw'!B:B))</f>
        <v/>
      </c>
      <c r="C223" t="str">
        <f>IF(B223="","",VLOOKUP(B223,RAW[[Hotel Code]:[Hotel / Resort Name ]],2,0))</f>
        <v/>
      </c>
    </row>
    <row r="224" spans="1:3" x14ac:dyDescent="0.25">
      <c r="A224" t="str">
        <f>IF(B223="","",_xlfn.XLOOKUP(B224,'Raw'!C:C,'Raw'!B:B))</f>
        <v/>
      </c>
      <c r="C224" t="str">
        <f>IF(B224="","",VLOOKUP(B224,RAW[[Hotel Code]:[Hotel / Resort Name ]],2,0))</f>
        <v/>
      </c>
    </row>
    <row r="225" spans="1:3" x14ac:dyDescent="0.25">
      <c r="A225" t="str">
        <f>IF(B224="","",_xlfn.XLOOKUP(B225,'Raw'!C:C,'Raw'!B:B))</f>
        <v/>
      </c>
      <c r="C225" t="str">
        <f>IF(B225="","",VLOOKUP(B225,RAW[[Hotel Code]:[Hotel / Resort Name ]],2,0))</f>
        <v/>
      </c>
    </row>
    <row r="226" spans="1:3" x14ac:dyDescent="0.25">
      <c r="A226" t="str">
        <f>IF(B225="","",_xlfn.XLOOKUP(B226,'Raw'!C:C,'Raw'!B:B))</f>
        <v/>
      </c>
      <c r="C226" t="str">
        <f>IF(B226="","",VLOOKUP(B226,RAW[[Hotel Code]:[Hotel / Resort Name ]],2,0))</f>
        <v/>
      </c>
    </row>
    <row r="227" spans="1:3" x14ac:dyDescent="0.25">
      <c r="A227" t="str">
        <f>IF(B226="","",_xlfn.XLOOKUP(B227,'Raw'!C:C,'Raw'!B:B))</f>
        <v/>
      </c>
      <c r="C227" t="str">
        <f>IF(B227="","",VLOOKUP(B227,RAW[[Hotel Code]:[Hotel / Resort Name ]],2,0))</f>
        <v/>
      </c>
    </row>
    <row r="228" spans="1:3" x14ac:dyDescent="0.25">
      <c r="A228" t="str">
        <f>IF(B227="","",_xlfn.XLOOKUP(B228,'Raw'!C:C,'Raw'!B:B))</f>
        <v/>
      </c>
      <c r="C228" t="str">
        <f>IF(B228="","",VLOOKUP(B228,RAW[[Hotel Code]:[Hotel / Resort Name ]],2,0))</f>
        <v/>
      </c>
    </row>
    <row r="229" spans="1:3" x14ac:dyDescent="0.25">
      <c r="A229" t="str">
        <f>IF(B228="","",_xlfn.XLOOKUP(B229,'Raw'!C:C,'Raw'!B:B))</f>
        <v/>
      </c>
      <c r="C229" t="str">
        <f>IF(B229="","",VLOOKUP(B229,RAW[[Hotel Code]:[Hotel / Resort Name ]],2,0))</f>
        <v/>
      </c>
    </row>
    <row r="230" spans="1:3" x14ac:dyDescent="0.25">
      <c r="A230" t="str">
        <f>IF(B229="","",_xlfn.XLOOKUP(B230,'Raw'!C:C,'Raw'!B:B))</f>
        <v/>
      </c>
      <c r="C230" t="str">
        <f>IF(B230="","",VLOOKUP(B230,RAW[[Hotel Code]:[Hotel / Resort Name ]],2,0))</f>
        <v/>
      </c>
    </row>
    <row r="231" spans="1:3" x14ac:dyDescent="0.25">
      <c r="A231" t="str">
        <f>IF(B230="","",_xlfn.XLOOKUP(B231,'Raw'!C:C,'Raw'!B:B))</f>
        <v/>
      </c>
      <c r="C231" t="str">
        <f>IF(B231="","",VLOOKUP(B231,RAW[[Hotel Code]:[Hotel / Resort Name ]],2,0))</f>
        <v/>
      </c>
    </row>
    <row r="232" spans="1:3" x14ac:dyDescent="0.25">
      <c r="A232" t="str">
        <f>IF(B231="","",_xlfn.XLOOKUP(B232,'Raw'!C:C,'Raw'!B:B))</f>
        <v/>
      </c>
      <c r="C232" t="str">
        <f>IF(B232="","",VLOOKUP(B232,RAW[[Hotel Code]:[Hotel / Resort Name ]],2,0))</f>
        <v/>
      </c>
    </row>
    <row r="233" spans="1:3" x14ac:dyDescent="0.25">
      <c r="A233" t="str">
        <f>IF(B232="","",_xlfn.XLOOKUP(B233,'Raw'!C:C,'Raw'!B:B))</f>
        <v/>
      </c>
      <c r="C233" t="str">
        <f>IF(B233="","",VLOOKUP(B233,RAW[[Hotel Code]:[Hotel / Resort Name ]],2,0))</f>
        <v/>
      </c>
    </row>
    <row r="234" spans="1:3" x14ac:dyDescent="0.25">
      <c r="A234" t="str">
        <f>IF(B233="","",_xlfn.XLOOKUP(B234,'Raw'!C:C,'Raw'!B:B))</f>
        <v/>
      </c>
      <c r="C234" t="str">
        <f>IF(B234="","",VLOOKUP(B234,RAW[[Hotel Code]:[Hotel / Resort Name ]],2,0))</f>
        <v/>
      </c>
    </row>
    <row r="235" spans="1:3" x14ac:dyDescent="0.25">
      <c r="A235" t="str">
        <f>IF(B234="","",_xlfn.XLOOKUP(B235,'Raw'!C:C,'Raw'!B:B))</f>
        <v/>
      </c>
      <c r="C235" t="str">
        <f>IF(B235="","",VLOOKUP(B235,RAW[[Hotel Code]:[Hotel / Resort Name ]],2,0))</f>
        <v/>
      </c>
    </row>
    <row r="236" spans="1:3" x14ac:dyDescent="0.25">
      <c r="A236" t="str">
        <f>IF(B235="","",_xlfn.XLOOKUP(B236,'Raw'!C:C,'Raw'!B:B))</f>
        <v/>
      </c>
      <c r="C236" t="str">
        <f>IF(B236="","",VLOOKUP(B236,RAW[[Hotel Code]:[Hotel / Resort Name ]],2,0))</f>
        <v/>
      </c>
    </row>
    <row r="237" spans="1:3" x14ac:dyDescent="0.25">
      <c r="A237" t="str">
        <f>IF(B236="","",_xlfn.XLOOKUP(B237,'Raw'!C:C,'Raw'!B:B))</f>
        <v/>
      </c>
      <c r="C237" t="str">
        <f>IF(B237="","",VLOOKUP(B237,RAW[[Hotel Code]:[Hotel / Resort Name ]],2,0))</f>
        <v/>
      </c>
    </row>
    <row r="238" spans="1:3" x14ac:dyDescent="0.25">
      <c r="A238" t="str">
        <f>IF(B237="","",_xlfn.XLOOKUP(B238,'Raw'!C:C,'Raw'!B:B))</f>
        <v/>
      </c>
      <c r="C238" t="str">
        <f>IF(B238="","",VLOOKUP(B238,RAW[[Hotel Code]:[Hotel / Resort Name ]],2,0))</f>
        <v/>
      </c>
    </row>
    <row r="239" spans="1:3" x14ac:dyDescent="0.25">
      <c r="A239" t="str">
        <f>IF(B238="","",_xlfn.XLOOKUP(B239,'Raw'!C:C,'Raw'!B:B))</f>
        <v/>
      </c>
      <c r="C239" t="str">
        <f>IF(B239="","",VLOOKUP(B239,RAW[[Hotel Code]:[Hotel / Resort Name ]],2,0))</f>
        <v/>
      </c>
    </row>
    <row r="240" spans="1:3" x14ac:dyDescent="0.25">
      <c r="A240" t="str">
        <f>IF(B239="","",_xlfn.XLOOKUP(B240,'Raw'!C:C,'Raw'!B:B))</f>
        <v/>
      </c>
      <c r="C240" t="str">
        <f>IF(B240="","",VLOOKUP(B240,RAW[[Hotel Code]:[Hotel / Resort Name ]],2,0))</f>
        <v/>
      </c>
    </row>
    <row r="241" spans="1:3" x14ac:dyDescent="0.25">
      <c r="A241" t="str">
        <f>IF(B240="","",_xlfn.XLOOKUP(B241,'Raw'!C:C,'Raw'!B:B))</f>
        <v/>
      </c>
      <c r="C241" t="str">
        <f>IF(B241="","",VLOOKUP(B241,RAW[[Hotel Code]:[Hotel / Resort Name ]],2,0))</f>
        <v/>
      </c>
    </row>
    <row r="242" spans="1:3" x14ac:dyDescent="0.25">
      <c r="A242" t="str">
        <f>IF(B241="","",_xlfn.XLOOKUP(B242,'Raw'!C:C,'Raw'!B:B))</f>
        <v/>
      </c>
      <c r="C242" t="str">
        <f>IF(B242="","",VLOOKUP(B242,RAW[[Hotel Code]:[Hotel / Resort Name ]],2,0))</f>
        <v/>
      </c>
    </row>
    <row r="243" spans="1:3" x14ac:dyDescent="0.25">
      <c r="A243" t="str">
        <f>IF(B242="","",_xlfn.XLOOKUP(B243,'Raw'!C:C,'Raw'!B:B))</f>
        <v/>
      </c>
      <c r="C243" t="str">
        <f>IF(B243="","",VLOOKUP(B243,RAW[[Hotel Code]:[Hotel / Resort Name ]],2,0))</f>
        <v/>
      </c>
    </row>
    <row r="244" spans="1:3" x14ac:dyDescent="0.25">
      <c r="A244" t="str">
        <f>IF(B243="","",_xlfn.XLOOKUP(B244,'Raw'!C:C,'Raw'!B:B))</f>
        <v/>
      </c>
      <c r="C244" t="str">
        <f>IF(B244="","",VLOOKUP(B244,RAW[[Hotel Code]:[Hotel / Resort Name ]],2,0))</f>
        <v/>
      </c>
    </row>
    <row r="245" spans="1:3" x14ac:dyDescent="0.25">
      <c r="A245" t="str">
        <f>IF(B244="","",_xlfn.XLOOKUP(B245,'Raw'!C:C,'Raw'!B:B))</f>
        <v/>
      </c>
      <c r="C245" t="str">
        <f>IF(B245="","",VLOOKUP(B245,RAW[[Hotel Code]:[Hotel / Resort Name ]],2,0))</f>
        <v/>
      </c>
    </row>
    <row r="246" spans="1:3" x14ac:dyDescent="0.25">
      <c r="A246" t="str">
        <f>IF(B245="","",_xlfn.XLOOKUP(B246,'Raw'!C:C,'Raw'!B:B))</f>
        <v/>
      </c>
      <c r="C246" t="str">
        <f>IF(B246="","",VLOOKUP(B246,RAW[[Hotel Code]:[Hotel / Resort Name ]],2,0))</f>
        <v/>
      </c>
    </row>
    <row r="247" spans="1:3" x14ac:dyDescent="0.25">
      <c r="A247" t="str">
        <f>IF(B246="","",_xlfn.XLOOKUP(B247,'Raw'!C:C,'Raw'!B:B))</f>
        <v/>
      </c>
      <c r="C247" t="str">
        <f>IF(B247="","",VLOOKUP(B247,RAW[[Hotel Code]:[Hotel / Resort Name ]],2,0))</f>
        <v/>
      </c>
    </row>
    <row r="248" spans="1:3" x14ac:dyDescent="0.25">
      <c r="A248" t="str">
        <f>IF(B247="","",_xlfn.XLOOKUP(B248,'Raw'!C:C,'Raw'!B:B))</f>
        <v/>
      </c>
      <c r="C248" t="str">
        <f>IF(B248="","",VLOOKUP(B248,RAW[[Hotel Code]:[Hotel / Resort Name ]],2,0))</f>
        <v/>
      </c>
    </row>
    <row r="249" spans="1:3" x14ac:dyDescent="0.25">
      <c r="A249" t="str">
        <f>IF(B248="","",_xlfn.XLOOKUP(B249,'Raw'!C:C,'Raw'!B:B))</f>
        <v/>
      </c>
      <c r="C249" t="str">
        <f>IF(B249="","",VLOOKUP(B249,RAW[[Hotel Code]:[Hotel / Resort Name ]],2,0))</f>
        <v/>
      </c>
    </row>
    <row r="250" spans="1:3" x14ac:dyDescent="0.25">
      <c r="A250" t="str">
        <f>IF(B249="","",_xlfn.XLOOKUP(B250,'Raw'!C:C,'Raw'!B:B))</f>
        <v/>
      </c>
      <c r="C250" t="str">
        <f>IF(B250="","",VLOOKUP(B250,RAW[[Hotel Code]:[Hotel / Resort Name ]],2,0))</f>
        <v/>
      </c>
    </row>
    <row r="251" spans="1:3" x14ac:dyDescent="0.25">
      <c r="A251" t="str">
        <f>IF(B250="","",_xlfn.XLOOKUP(B251,'Raw'!C:C,'Raw'!B:B))</f>
        <v/>
      </c>
      <c r="C251" t="str">
        <f>IF(B251="","",VLOOKUP(B251,RAW[[Hotel Code]:[Hotel / Resort Name ]],2,0))</f>
        <v/>
      </c>
    </row>
    <row r="252" spans="1:3" x14ac:dyDescent="0.25">
      <c r="A252" t="str">
        <f>IF(B251="","",_xlfn.XLOOKUP(B252,'Raw'!C:C,'Raw'!B:B))</f>
        <v/>
      </c>
      <c r="C252" t="str">
        <f>IF(B252="","",VLOOKUP(B252,RAW[[Hotel Code]:[Hotel / Resort Name ]],2,0))</f>
        <v/>
      </c>
    </row>
    <row r="253" spans="1:3" x14ac:dyDescent="0.25">
      <c r="A253" t="str">
        <f>IF(B252="","",_xlfn.XLOOKUP(B253,'Raw'!C:C,'Raw'!B:B))</f>
        <v/>
      </c>
      <c r="C253" t="str">
        <f>IF(B253="","",VLOOKUP(B253,RAW[[Hotel Code]:[Hotel / Resort Name ]],2,0))</f>
        <v/>
      </c>
    </row>
    <row r="254" spans="1:3" x14ac:dyDescent="0.25">
      <c r="A254" t="str">
        <f>IF(B253="","",_xlfn.XLOOKUP(B254,'Raw'!C:C,'Raw'!B:B))</f>
        <v/>
      </c>
      <c r="C254" t="str">
        <f>IF(B254="","",VLOOKUP(B254,RAW[[Hotel Code]:[Hotel / Resort Name ]],2,0))</f>
        <v/>
      </c>
    </row>
    <row r="255" spans="1:3" x14ac:dyDescent="0.25">
      <c r="A255" t="str">
        <f>IF(B254="","",_xlfn.XLOOKUP(B255,'Raw'!C:C,'Raw'!B:B))</f>
        <v/>
      </c>
      <c r="C255" t="str">
        <f>IF(B255="","",VLOOKUP(B255,RAW[[Hotel Code]:[Hotel / Resort Name ]],2,0))</f>
        <v/>
      </c>
    </row>
    <row r="256" spans="1:3" x14ac:dyDescent="0.25">
      <c r="A256" t="str">
        <f>IF(B255="","",_xlfn.XLOOKUP(B256,'Raw'!C:C,'Raw'!B:B))</f>
        <v/>
      </c>
      <c r="C256" t="str">
        <f>IF(B256="","",VLOOKUP(B256,RAW[[Hotel Code]:[Hotel / Resort Name ]],2,0))</f>
        <v/>
      </c>
    </row>
    <row r="257" spans="1:3" x14ac:dyDescent="0.25">
      <c r="A257" t="str">
        <f>IF(B256="","",_xlfn.XLOOKUP(B257,'Raw'!C:C,'Raw'!B:B))</f>
        <v/>
      </c>
      <c r="C257" t="str">
        <f>IF(B257="","",VLOOKUP(B257,RAW[[Hotel Code]:[Hotel / Resort Name ]],2,0))</f>
        <v/>
      </c>
    </row>
    <row r="258" spans="1:3" x14ac:dyDescent="0.25">
      <c r="A258" t="str">
        <f>IF(B257="","",_xlfn.XLOOKUP(B258,'Raw'!C:C,'Raw'!B:B))</f>
        <v/>
      </c>
      <c r="C258" t="str">
        <f>IF(B258="","",VLOOKUP(B258,RAW[[Hotel Code]:[Hotel / Resort Name ]],2,0))</f>
        <v/>
      </c>
    </row>
    <row r="259" spans="1:3" x14ac:dyDescent="0.25">
      <c r="A259" t="str">
        <f>IF(B258="","",_xlfn.XLOOKUP(B259,'Raw'!C:C,'Raw'!B:B))</f>
        <v/>
      </c>
      <c r="C259" t="str">
        <f>IF(B259="","",VLOOKUP(B259,RAW[[Hotel Code]:[Hotel / Resort Name ]],2,0))</f>
        <v/>
      </c>
    </row>
    <row r="260" spans="1:3" x14ac:dyDescent="0.25">
      <c r="A260" t="str">
        <f>IF(B259="","",_xlfn.XLOOKUP(B260,'Raw'!C:C,'Raw'!B:B))</f>
        <v/>
      </c>
      <c r="C260" t="str">
        <f>IF(B260="","",VLOOKUP(B260,RAW[[Hotel Code]:[Hotel / Resort Name ]],2,0))</f>
        <v/>
      </c>
    </row>
    <row r="261" spans="1:3" x14ac:dyDescent="0.25">
      <c r="A261" t="str">
        <f>IF(B260="","",_xlfn.XLOOKUP(B261,'Raw'!C:C,'Raw'!B:B))</f>
        <v/>
      </c>
      <c r="C261" t="str">
        <f>IF(B261="","",VLOOKUP(B261,RAW[[Hotel Code]:[Hotel / Resort Name ]],2,0))</f>
        <v/>
      </c>
    </row>
    <row r="262" spans="1:3" x14ac:dyDescent="0.25">
      <c r="A262" t="str">
        <f>IF(B261="","",_xlfn.XLOOKUP(B262,'Raw'!C:C,'Raw'!B:B))</f>
        <v/>
      </c>
      <c r="C262" t="str">
        <f>IF(B262="","",VLOOKUP(B262,RAW[[Hotel Code]:[Hotel / Resort Name ]],2,0))</f>
        <v/>
      </c>
    </row>
    <row r="263" spans="1:3" x14ac:dyDescent="0.25">
      <c r="A263" t="str">
        <f>IF(B262="","",_xlfn.XLOOKUP(B263,'Raw'!C:C,'Raw'!B:B))</f>
        <v/>
      </c>
      <c r="C263" t="str">
        <f>IF(B263="","",VLOOKUP(B263,RAW[[Hotel Code]:[Hotel / Resort Name ]],2,0))</f>
        <v/>
      </c>
    </row>
    <row r="264" spans="1:3" x14ac:dyDescent="0.25">
      <c r="A264" t="str">
        <f>IF(B263="","",_xlfn.XLOOKUP(B264,'Raw'!C:C,'Raw'!B:B))</f>
        <v/>
      </c>
      <c r="C264" t="str">
        <f>IF(B264="","",VLOOKUP(B264,RAW[[Hotel Code]:[Hotel / Resort Name ]],2,0))</f>
        <v/>
      </c>
    </row>
    <row r="265" spans="1:3" x14ac:dyDescent="0.25">
      <c r="A265" t="str">
        <f>IF(B264="","",_xlfn.XLOOKUP(B265,'Raw'!C:C,'Raw'!B:B))</f>
        <v/>
      </c>
      <c r="C265" t="str">
        <f>IF(B265="","",VLOOKUP(B265,RAW[[Hotel Code]:[Hotel / Resort Name ]],2,0))</f>
        <v/>
      </c>
    </row>
    <row r="266" spans="1:3" x14ac:dyDescent="0.25">
      <c r="A266" t="str">
        <f>IF(B265="","",_xlfn.XLOOKUP(B266,'Raw'!C:C,'Raw'!B:B))</f>
        <v/>
      </c>
      <c r="C266" t="str">
        <f>IF(B266="","",VLOOKUP(B266,RAW[[Hotel Code]:[Hotel / Resort Name ]],2,0))</f>
        <v/>
      </c>
    </row>
    <row r="267" spans="1:3" x14ac:dyDescent="0.25">
      <c r="A267" t="str">
        <f>IF(B266="","",_xlfn.XLOOKUP(B267,'Raw'!C:C,'Raw'!B:B))</f>
        <v/>
      </c>
      <c r="C267" t="str">
        <f>IF(B267="","",VLOOKUP(B267,RAW[[Hotel Code]:[Hotel / Resort Name ]],2,0))</f>
        <v/>
      </c>
    </row>
    <row r="268" spans="1:3" x14ac:dyDescent="0.25">
      <c r="A268" t="str">
        <f>IF(B267="","",_xlfn.XLOOKUP(B268,'Raw'!C:C,'Raw'!B:B))</f>
        <v/>
      </c>
      <c r="C268" t="str">
        <f>IF(B268="","",VLOOKUP(B268,RAW[[Hotel Code]:[Hotel / Resort Name ]],2,0))</f>
        <v/>
      </c>
    </row>
    <row r="269" spans="1:3" x14ac:dyDescent="0.25">
      <c r="A269" t="str">
        <f>IF(B268="","",_xlfn.XLOOKUP(B269,'Raw'!C:C,'Raw'!B:B))</f>
        <v/>
      </c>
      <c r="C269" t="str">
        <f>IF(B269="","",VLOOKUP(B269,RAW[[Hotel Code]:[Hotel / Resort Name ]],2,0))</f>
        <v/>
      </c>
    </row>
    <row r="270" spans="1:3" x14ac:dyDescent="0.25">
      <c r="A270" t="str">
        <f>IF(B269="","",_xlfn.XLOOKUP(B270,'Raw'!C:C,'Raw'!B:B))</f>
        <v/>
      </c>
      <c r="C270" t="str">
        <f>IF(B270="","",VLOOKUP(B270,RAW[[Hotel Code]:[Hotel / Resort Name ]],2,0))</f>
        <v/>
      </c>
    </row>
    <row r="271" spans="1:3" x14ac:dyDescent="0.25">
      <c r="A271" t="str">
        <f>IF(B270="","",_xlfn.XLOOKUP(B271,'Raw'!C:C,'Raw'!B:B))</f>
        <v/>
      </c>
      <c r="C271" t="str">
        <f>IF(B271="","",VLOOKUP(B271,RAW[[Hotel Code]:[Hotel / Resort Name ]],2,0))</f>
        <v/>
      </c>
    </row>
    <row r="272" spans="1:3" x14ac:dyDescent="0.25">
      <c r="A272" t="str">
        <f>IF(B271="","",_xlfn.XLOOKUP(B272,'Raw'!C:C,'Raw'!B:B))</f>
        <v/>
      </c>
      <c r="C272" t="str">
        <f>IF(B272="","",VLOOKUP(B272,RAW[[Hotel Code]:[Hotel / Resort Name ]],2,0))</f>
        <v/>
      </c>
    </row>
    <row r="273" spans="1:3" x14ac:dyDescent="0.25">
      <c r="A273" t="str">
        <f>IF(B272="","",_xlfn.XLOOKUP(B273,'Raw'!C:C,'Raw'!B:B))</f>
        <v/>
      </c>
      <c r="C273" t="str">
        <f>IF(B273="","",VLOOKUP(B273,RAW[[Hotel Code]:[Hotel / Resort Name ]],2,0))</f>
        <v/>
      </c>
    </row>
    <row r="274" spans="1:3" x14ac:dyDescent="0.25">
      <c r="A274" t="str">
        <f>IF(B273="","",_xlfn.XLOOKUP(B274,'Raw'!C:C,'Raw'!B:B))</f>
        <v/>
      </c>
      <c r="C274" t="str">
        <f>IF(B274="","",VLOOKUP(B274,RAW[[Hotel Code]:[Hotel / Resort Name ]],2,0))</f>
        <v/>
      </c>
    </row>
    <row r="275" spans="1:3" x14ac:dyDescent="0.25">
      <c r="A275" t="str">
        <f>IF(B274="","",_xlfn.XLOOKUP(B275,'Raw'!C:C,'Raw'!B:B))</f>
        <v/>
      </c>
      <c r="C275" t="str">
        <f>IF(B275="","",VLOOKUP(B275,RAW[[Hotel Code]:[Hotel / Resort Name ]],2,0))</f>
        <v/>
      </c>
    </row>
    <row r="276" spans="1:3" x14ac:dyDescent="0.25">
      <c r="A276" t="str">
        <f>IF(B275="","",_xlfn.XLOOKUP(B276,'Raw'!C:C,'Raw'!B:B))</f>
        <v/>
      </c>
      <c r="C276" t="str">
        <f>IF(B276="","",VLOOKUP(B276,RAW[[Hotel Code]:[Hotel / Resort Name ]],2,0))</f>
        <v/>
      </c>
    </row>
    <row r="277" spans="1:3" x14ac:dyDescent="0.25">
      <c r="A277" t="str">
        <f>IF(B276="","",_xlfn.XLOOKUP(B277,'Raw'!C:C,'Raw'!B:B))</f>
        <v/>
      </c>
      <c r="C277" t="str">
        <f>IF(B277="","",VLOOKUP(B277,RAW[[Hotel Code]:[Hotel / Resort Name ]],2,0))</f>
        <v/>
      </c>
    </row>
    <row r="278" spans="1:3" x14ac:dyDescent="0.25">
      <c r="A278" t="str">
        <f>IF(B277="","",_xlfn.XLOOKUP(B278,'Raw'!C:C,'Raw'!B:B))</f>
        <v/>
      </c>
      <c r="C278" t="str">
        <f>IF(B278="","",VLOOKUP(B278,RAW[[Hotel Code]:[Hotel / Resort Name ]],2,0))</f>
        <v/>
      </c>
    </row>
    <row r="279" spans="1:3" x14ac:dyDescent="0.25">
      <c r="A279" t="str">
        <f>IF(B278="","",_xlfn.XLOOKUP(B279,'Raw'!C:C,'Raw'!B:B))</f>
        <v/>
      </c>
      <c r="C279" t="str">
        <f>IF(B279="","",VLOOKUP(B279,RAW[[Hotel Code]:[Hotel / Resort Name ]],2,0))</f>
        <v/>
      </c>
    </row>
    <row r="280" spans="1:3" x14ac:dyDescent="0.25">
      <c r="A280" t="str">
        <f>IF(B279="","",_xlfn.XLOOKUP(B280,'Raw'!C:C,'Raw'!B:B))</f>
        <v/>
      </c>
      <c r="C280" t="str">
        <f>IF(B280="","",VLOOKUP(B280,RAW[[Hotel Code]:[Hotel / Resort Name ]],2,0))</f>
        <v/>
      </c>
    </row>
    <row r="281" spans="1:3" x14ac:dyDescent="0.25">
      <c r="A281" t="str">
        <f>IF(B280="","",_xlfn.XLOOKUP(B281,'Raw'!C:C,'Raw'!B:B))</f>
        <v/>
      </c>
      <c r="C281" t="str">
        <f>IF(B281="","",VLOOKUP(B281,RAW[[Hotel Code]:[Hotel / Resort Name ]],2,0))</f>
        <v/>
      </c>
    </row>
    <row r="282" spans="1:3" x14ac:dyDescent="0.25">
      <c r="A282" t="str">
        <f>IF(B281="","",_xlfn.XLOOKUP(B282,'Raw'!C:C,'Raw'!B:B))</f>
        <v/>
      </c>
      <c r="C282" t="str">
        <f>IF(B282="","",VLOOKUP(B282,RAW[[Hotel Code]:[Hotel / Resort Name ]],2,0))</f>
        <v/>
      </c>
    </row>
    <row r="283" spans="1:3" x14ac:dyDescent="0.25">
      <c r="A283" t="str">
        <f>IF(B282="","",_xlfn.XLOOKUP(B283,'Raw'!C:C,'Raw'!B:B))</f>
        <v/>
      </c>
      <c r="C283" t="str">
        <f>IF(B283="","",VLOOKUP(B283,RAW[[Hotel Code]:[Hotel / Resort Name ]],2,0))</f>
        <v/>
      </c>
    </row>
    <row r="284" spans="1:3" x14ac:dyDescent="0.25">
      <c r="A284" t="str">
        <f>IF(B283="","",_xlfn.XLOOKUP(B284,'Raw'!C:C,'Raw'!B:B))</f>
        <v/>
      </c>
      <c r="C284" t="str">
        <f>IF(B284="","",VLOOKUP(B284,RAW[[Hotel Code]:[Hotel / Resort Name ]],2,0))</f>
        <v/>
      </c>
    </row>
    <row r="285" spans="1:3" x14ac:dyDescent="0.25">
      <c r="A285" t="str">
        <f>IF(B284="","",_xlfn.XLOOKUP(B285,'Raw'!C:C,'Raw'!B:B))</f>
        <v/>
      </c>
      <c r="C285" t="str">
        <f>IF(B285="","",VLOOKUP(B285,RAW[[Hotel Code]:[Hotel / Resort Name ]],2,0))</f>
        <v/>
      </c>
    </row>
    <row r="286" spans="1:3" x14ac:dyDescent="0.25">
      <c r="A286" t="str">
        <f>IF(B285="","",_xlfn.XLOOKUP(B286,'Raw'!C:C,'Raw'!B:B))</f>
        <v/>
      </c>
      <c r="C286" t="str">
        <f>IF(B286="","",VLOOKUP(B286,RAW[[Hotel Code]:[Hotel / Resort Name ]],2,0))</f>
        <v/>
      </c>
    </row>
    <row r="287" spans="1:3" x14ac:dyDescent="0.25">
      <c r="A287" t="str">
        <f>IF(B286="","",_xlfn.XLOOKUP(B287,'Raw'!C:C,'Raw'!B:B))</f>
        <v/>
      </c>
      <c r="C287" t="str">
        <f>IF(B287="","",VLOOKUP(B287,RAW[[Hotel Code]:[Hotel / Resort Name ]],2,0))</f>
        <v/>
      </c>
    </row>
    <row r="288" spans="1:3" x14ac:dyDescent="0.25">
      <c r="A288" t="str">
        <f>IF(B287="","",_xlfn.XLOOKUP(B288,'Raw'!C:C,'Raw'!B:B))</f>
        <v/>
      </c>
      <c r="C288" t="str">
        <f>IF(B288="","",VLOOKUP(B288,RAW[[Hotel Code]:[Hotel / Resort Name ]],2,0))</f>
        <v/>
      </c>
    </row>
    <row r="289" spans="1:3" x14ac:dyDescent="0.25">
      <c r="A289" t="str">
        <f>IF(B288="","",_xlfn.XLOOKUP(B289,'Raw'!C:C,'Raw'!B:B))</f>
        <v/>
      </c>
      <c r="C289" t="str">
        <f>IF(B289="","",VLOOKUP(B289,RAW[[Hotel Code]:[Hotel / Resort Name ]],2,0))</f>
        <v/>
      </c>
    </row>
    <row r="290" spans="1:3" x14ac:dyDescent="0.25">
      <c r="A290" t="str">
        <f>IF(B289="","",_xlfn.XLOOKUP(B290,'Raw'!C:C,'Raw'!B:B))</f>
        <v/>
      </c>
      <c r="C290" t="str">
        <f>IF(B290="","",VLOOKUP(B290,RAW[[Hotel Code]:[Hotel / Resort Name ]],2,0))</f>
        <v/>
      </c>
    </row>
    <row r="291" spans="1:3" x14ac:dyDescent="0.25">
      <c r="A291" t="str">
        <f>IF(B290="","",_xlfn.XLOOKUP(B291,'Raw'!C:C,'Raw'!B:B))</f>
        <v/>
      </c>
      <c r="C291" t="str">
        <f>IF(B291="","",VLOOKUP(B291,RAW[[Hotel Code]:[Hotel / Resort Name ]],2,0))</f>
        <v/>
      </c>
    </row>
    <row r="292" spans="1:3" x14ac:dyDescent="0.25">
      <c r="A292" t="str">
        <f>IF(B291="","",_xlfn.XLOOKUP(B292,'Raw'!C:C,'Raw'!B:B))</f>
        <v/>
      </c>
      <c r="C292" t="str">
        <f>IF(B292="","",VLOOKUP(B292,RAW[[Hotel Code]:[Hotel / Resort Name ]],2,0))</f>
        <v/>
      </c>
    </row>
    <row r="293" spans="1:3" x14ac:dyDescent="0.25">
      <c r="A293" t="str">
        <f>IF(B292="","",_xlfn.XLOOKUP(B293,'Raw'!C:C,'Raw'!B:B))</f>
        <v/>
      </c>
      <c r="C293" t="str">
        <f>IF(B293="","",VLOOKUP(B293,RAW[[Hotel Code]:[Hotel / Resort Name ]],2,0))</f>
        <v/>
      </c>
    </row>
    <row r="294" spans="1:3" x14ac:dyDescent="0.25">
      <c r="A294" t="str">
        <f>IF(B293="","",_xlfn.XLOOKUP(B294,'Raw'!C:C,'Raw'!B:B))</f>
        <v/>
      </c>
      <c r="C294" t="str">
        <f>IF(B294="","",VLOOKUP(B294,RAW[[Hotel Code]:[Hotel / Resort Name ]],2,0))</f>
        <v/>
      </c>
    </row>
    <row r="295" spans="1:3" x14ac:dyDescent="0.25">
      <c r="A295" t="str">
        <f>IF(B294="","",_xlfn.XLOOKUP(B295,'Raw'!C:C,'Raw'!B:B))</f>
        <v/>
      </c>
      <c r="C295" t="str">
        <f>IF(B295="","",VLOOKUP(B295,RAW[[Hotel Code]:[Hotel / Resort Name ]],2,0))</f>
        <v/>
      </c>
    </row>
    <row r="296" spans="1:3" x14ac:dyDescent="0.25">
      <c r="A296" t="str">
        <f>IF(B295="","",_xlfn.XLOOKUP(B296,'Raw'!C:C,'Raw'!B:B))</f>
        <v/>
      </c>
      <c r="C296" t="str">
        <f>IF(B296="","",VLOOKUP(B296,RAW[[Hotel Code]:[Hotel / Resort Name ]],2,0))</f>
        <v/>
      </c>
    </row>
    <row r="297" spans="1:3" x14ac:dyDescent="0.25">
      <c r="A297" t="str">
        <f>IF(B296="","",_xlfn.XLOOKUP(B297,'Raw'!C:C,'Raw'!B:B))</f>
        <v/>
      </c>
      <c r="C297" t="str">
        <f>IF(B297="","",VLOOKUP(B297,RAW[[Hotel Code]:[Hotel / Resort Name ]],2,0))</f>
        <v/>
      </c>
    </row>
    <row r="298" spans="1:3" x14ac:dyDescent="0.25">
      <c r="A298" t="str">
        <f>IF(B297="","",_xlfn.XLOOKUP(B298,'Raw'!C:C,'Raw'!B:B))</f>
        <v/>
      </c>
      <c r="C298" t="str">
        <f>IF(B298="","",VLOOKUP(B298,RAW[[Hotel Code]:[Hotel / Resort Name ]],2,0))</f>
        <v/>
      </c>
    </row>
    <row r="299" spans="1:3" x14ac:dyDescent="0.25">
      <c r="A299" t="str">
        <f>IF(B298="","",_xlfn.XLOOKUP(B299,'Raw'!C:C,'Raw'!B:B))</f>
        <v/>
      </c>
      <c r="C299" t="str">
        <f>IF(B299="","",VLOOKUP(B299,RAW[[Hotel Code]:[Hotel / Resort Name ]],2,0))</f>
        <v/>
      </c>
    </row>
    <row r="300" spans="1:3" x14ac:dyDescent="0.25">
      <c r="A300" t="str">
        <f>IF(B299="","",_xlfn.XLOOKUP(B300,'Raw'!C:C,'Raw'!B:B))</f>
        <v/>
      </c>
      <c r="C300" t="str">
        <f>IF(B300="","",VLOOKUP(B300,RAW[[Hotel Code]:[Hotel / Resort Name ]],2,0))</f>
        <v/>
      </c>
    </row>
    <row r="301" spans="1:3" x14ac:dyDescent="0.25">
      <c r="A301" t="str">
        <f>IF(B300="","",_xlfn.XLOOKUP(B301,'Raw'!C:C,'Raw'!B:B))</f>
        <v/>
      </c>
      <c r="C301" t="str">
        <f>IF(B301="","",VLOOKUP(B301,RAW[[Hotel Code]:[Hotel / Resort Name ]],2,0))</f>
        <v/>
      </c>
    </row>
    <row r="302" spans="1:3" x14ac:dyDescent="0.25">
      <c r="A302" t="str">
        <f>IF(B301="","",_xlfn.XLOOKUP(B302,'Raw'!C:C,'Raw'!B:B))</f>
        <v/>
      </c>
      <c r="C302" t="str">
        <f>IF(B302="","",VLOOKUP(B302,RAW[[Hotel Code]:[Hotel / Resort Name ]],2,0))</f>
        <v/>
      </c>
    </row>
    <row r="303" spans="1:3" x14ac:dyDescent="0.25">
      <c r="A303" t="str">
        <f>IF(B302="","",_xlfn.XLOOKUP(B303,'Raw'!C:C,'Raw'!B:B))</f>
        <v/>
      </c>
      <c r="C303" t="str">
        <f>IF(B303="","",VLOOKUP(B303,RAW[[Hotel Code]:[Hotel / Resort Name ]],2,0))</f>
        <v/>
      </c>
    </row>
    <row r="304" spans="1:3" x14ac:dyDescent="0.25">
      <c r="A304" t="str">
        <f>IF(B303="","",_xlfn.XLOOKUP(B304,'Raw'!C:C,'Raw'!B:B))</f>
        <v/>
      </c>
      <c r="C304" t="str">
        <f>IF(B304="","",VLOOKUP(B304,RAW[[Hotel Code]:[Hotel / Resort Name ]],2,0))</f>
        <v/>
      </c>
    </row>
    <row r="305" spans="1:3" x14ac:dyDescent="0.25">
      <c r="A305" t="str">
        <f>IF(B304="","",_xlfn.XLOOKUP(B305,'Raw'!C:C,'Raw'!B:B))</f>
        <v/>
      </c>
      <c r="C305" t="str">
        <f>IF(B305="","",VLOOKUP(B305,RAW[[Hotel Code]:[Hotel / Resort Name ]],2,0))</f>
        <v/>
      </c>
    </row>
    <row r="306" spans="1:3" x14ac:dyDescent="0.25">
      <c r="A306" t="str">
        <f>IF(B305="","",_xlfn.XLOOKUP(B306,'Raw'!C:C,'Raw'!B:B))</f>
        <v/>
      </c>
      <c r="C306" t="str">
        <f>IF(B306="","",VLOOKUP(B306,RAW[[Hotel Code]:[Hotel / Resort Name ]],2,0))</f>
        <v/>
      </c>
    </row>
    <row r="307" spans="1:3" x14ac:dyDescent="0.25">
      <c r="A307" t="str">
        <f>IF(B306="","",_xlfn.XLOOKUP(B307,'Raw'!C:C,'Raw'!B:B))</f>
        <v/>
      </c>
      <c r="C307" t="str">
        <f>IF(B307="","",VLOOKUP(B307,RAW[[Hotel Code]:[Hotel / Resort Name ]],2,0))</f>
        <v/>
      </c>
    </row>
    <row r="308" spans="1:3" x14ac:dyDescent="0.25">
      <c r="A308" t="str">
        <f>IF(B307="","",_xlfn.XLOOKUP(B308,'Raw'!C:C,'Raw'!B:B))</f>
        <v/>
      </c>
      <c r="C308" t="str">
        <f>IF(B308="","",VLOOKUP(B308,RAW[[Hotel Code]:[Hotel / Resort Name ]],2,0))</f>
        <v/>
      </c>
    </row>
    <row r="309" spans="1:3" x14ac:dyDescent="0.25">
      <c r="A309" t="str">
        <f>IF(B308="","",_xlfn.XLOOKUP(B309,'Raw'!C:C,'Raw'!B:B))</f>
        <v/>
      </c>
      <c r="C309" t="str">
        <f>IF(B309="","",VLOOKUP(B309,RAW[[Hotel Code]:[Hotel / Resort Name ]],2,0))</f>
        <v/>
      </c>
    </row>
    <row r="310" spans="1:3" x14ac:dyDescent="0.25">
      <c r="A310" t="str">
        <f>IF(B309="","",_xlfn.XLOOKUP(B310,'Raw'!C:C,'Raw'!B:B))</f>
        <v/>
      </c>
      <c r="C310" t="str">
        <f>IF(B310="","",VLOOKUP(B310,RAW[[Hotel Code]:[Hotel / Resort Name ]],2,0))</f>
        <v/>
      </c>
    </row>
    <row r="311" spans="1:3" x14ac:dyDescent="0.25">
      <c r="A311" t="str">
        <f>IF(B310="","",_xlfn.XLOOKUP(B311,'Raw'!C:C,'Raw'!B:B))</f>
        <v/>
      </c>
      <c r="C311" t="str">
        <f>IF(B311="","",VLOOKUP(B311,RAW[[Hotel Code]:[Hotel / Resort Name ]],2,0))</f>
        <v/>
      </c>
    </row>
    <row r="312" spans="1:3" x14ac:dyDescent="0.25">
      <c r="A312" t="str">
        <f>IF(B311="","",_xlfn.XLOOKUP(B312,'Raw'!C:C,'Raw'!B:B))</f>
        <v/>
      </c>
      <c r="C312" t="str">
        <f>IF(B312="","",VLOOKUP(B312,RAW[[Hotel Code]:[Hotel / Resort Name ]],2,0))</f>
        <v/>
      </c>
    </row>
    <row r="313" spans="1:3" x14ac:dyDescent="0.25">
      <c r="A313" t="str">
        <f>IF(B312="","",_xlfn.XLOOKUP(B313,'Raw'!C:C,'Raw'!B:B))</f>
        <v/>
      </c>
      <c r="C313" t="str">
        <f>IF(B313="","",VLOOKUP(B313,RAW[[Hotel Code]:[Hotel / Resort Name ]],2,0))</f>
        <v/>
      </c>
    </row>
    <row r="314" spans="1:3" x14ac:dyDescent="0.25">
      <c r="A314" t="str">
        <f>IF(B313="","",_xlfn.XLOOKUP(B314,'Raw'!C:C,'Raw'!B:B))</f>
        <v/>
      </c>
      <c r="C314" t="str">
        <f>IF(B314="","",VLOOKUP(B314,RAW[[Hotel Code]:[Hotel / Resort Name ]],2,0))</f>
        <v/>
      </c>
    </row>
    <row r="315" spans="1:3" x14ac:dyDescent="0.25">
      <c r="A315" t="str">
        <f>IF(B314="","",_xlfn.XLOOKUP(B315,'Raw'!C:C,'Raw'!B:B))</f>
        <v/>
      </c>
      <c r="C315" t="str">
        <f>IF(B315="","",VLOOKUP(B315,RAW[[Hotel Code]:[Hotel / Resort Name ]],2,0))</f>
        <v/>
      </c>
    </row>
    <row r="316" spans="1:3" x14ac:dyDescent="0.25">
      <c r="A316" t="str">
        <f>IF(B315="","",_xlfn.XLOOKUP(B316,'Raw'!C:C,'Raw'!B:B))</f>
        <v/>
      </c>
      <c r="C316" t="str">
        <f>IF(B316="","",VLOOKUP(B316,RAW[[Hotel Code]:[Hotel / Resort Name ]],2,0))</f>
        <v/>
      </c>
    </row>
    <row r="317" spans="1:3" x14ac:dyDescent="0.25">
      <c r="A317" t="str">
        <f>IF(B316="","",_xlfn.XLOOKUP(B317,'Raw'!C:C,'Raw'!B:B))</f>
        <v/>
      </c>
      <c r="C317" t="str">
        <f>IF(B317="","",VLOOKUP(B317,RAW[[Hotel Code]:[Hotel / Resort Name ]],2,0))</f>
        <v/>
      </c>
    </row>
    <row r="318" spans="1:3" x14ac:dyDescent="0.25">
      <c r="A318" t="str">
        <f>IF(B317="","",_xlfn.XLOOKUP(B318,'Raw'!C:C,'Raw'!B:B))</f>
        <v/>
      </c>
      <c r="C318" t="str">
        <f>IF(B318="","",VLOOKUP(B318,RAW[[Hotel Code]:[Hotel / Resort Name ]],2,0))</f>
        <v/>
      </c>
    </row>
    <row r="319" spans="1:3" x14ac:dyDescent="0.25">
      <c r="A319" t="str">
        <f>IF(B318="","",_xlfn.XLOOKUP(B319,'Raw'!C:C,'Raw'!B:B))</f>
        <v/>
      </c>
      <c r="C319" t="str">
        <f>IF(B319="","",VLOOKUP(B319,RAW[[Hotel Code]:[Hotel / Resort Name ]],2,0))</f>
        <v/>
      </c>
    </row>
    <row r="320" spans="1:3" x14ac:dyDescent="0.25">
      <c r="A320" t="str">
        <f>IF(B319="","",_xlfn.XLOOKUP(B320,'Raw'!C:C,'Raw'!B:B))</f>
        <v/>
      </c>
      <c r="C320" t="str">
        <f>IF(B320="","",VLOOKUP(B320,RAW[[Hotel Code]:[Hotel / Resort Name ]],2,0))</f>
        <v/>
      </c>
    </row>
    <row r="321" spans="1:3" x14ac:dyDescent="0.25">
      <c r="A321" t="str">
        <f>IF(B320="","",_xlfn.XLOOKUP(B321,'Raw'!C:C,'Raw'!B:B))</f>
        <v/>
      </c>
      <c r="C321" t="str">
        <f>IF(B321="","",VLOOKUP(B321,RAW[[Hotel Code]:[Hotel / Resort Name ]],2,0))</f>
        <v/>
      </c>
    </row>
    <row r="322" spans="1:3" x14ac:dyDescent="0.25">
      <c r="A322" t="str">
        <f>IF(B321="","",_xlfn.XLOOKUP(B322,'Raw'!C:C,'Raw'!B:B))</f>
        <v/>
      </c>
      <c r="C322" t="str">
        <f>IF(B322="","",VLOOKUP(B322,RAW[[Hotel Code]:[Hotel / Resort Name ]],2,0))</f>
        <v/>
      </c>
    </row>
    <row r="323" spans="1:3" x14ac:dyDescent="0.25">
      <c r="A323" t="str">
        <f>IF(B322="","",_xlfn.XLOOKUP(B323,'Raw'!C:C,'Raw'!B:B))</f>
        <v/>
      </c>
      <c r="C323" t="str">
        <f>IF(B323="","",VLOOKUP(B323,RAW[[Hotel Code]:[Hotel / Resort Name ]],2,0))</f>
        <v/>
      </c>
    </row>
    <row r="324" spans="1:3" x14ac:dyDescent="0.25">
      <c r="A324" t="str">
        <f>IF(B323="","",_xlfn.XLOOKUP(B324,'Raw'!C:C,'Raw'!B:B))</f>
        <v/>
      </c>
      <c r="C324" t="str">
        <f>IF(B324="","",VLOOKUP(B324,RAW[[Hotel Code]:[Hotel / Resort Name ]],2,0))</f>
        <v/>
      </c>
    </row>
    <row r="325" spans="1:3" x14ac:dyDescent="0.25">
      <c r="A325" t="str">
        <f>IF(B324="","",_xlfn.XLOOKUP(B325,'Raw'!C:C,'Raw'!B:B))</f>
        <v/>
      </c>
      <c r="C325" t="str">
        <f>IF(B325="","",VLOOKUP(B325,RAW[[Hotel Code]:[Hotel / Resort Name ]],2,0))</f>
        <v/>
      </c>
    </row>
    <row r="326" spans="1:3" x14ac:dyDescent="0.25">
      <c r="A326" t="str">
        <f>IF(B325="","",_xlfn.XLOOKUP(B326,'Raw'!C:C,'Raw'!B:B))</f>
        <v/>
      </c>
      <c r="C326" t="str">
        <f>IF(B326="","",VLOOKUP(B326,RAW[[Hotel Code]:[Hotel / Resort Name ]],2,0))</f>
        <v/>
      </c>
    </row>
    <row r="327" spans="1:3" x14ac:dyDescent="0.25">
      <c r="A327" t="str">
        <f>IF(B326="","",_xlfn.XLOOKUP(B327,'Raw'!C:C,'Raw'!B:B))</f>
        <v/>
      </c>
      <c r="C327" t="str">
        <f>IF(B327="","",VLOOKUP(B327,RAW[[Hotel Code]:[Hotel / Resort Name ]],2,0))</f>
        <v/>
      </c>
    </row>
    <row r="328" spans="1:3" x14ac:dyDescent="0.25">
      <c r="A328" t="str">
        <f>IF(B327="","",_xlfn.XLOOKUP(B328,'Raw'!C:C,'Raw'!B:B))</f>
        <v/>
      </c>
      <c r="C328" t="str">
        <f>IF(B328="","",VLOOKUP(B328,RAW[[Hotel Code]:[Hotel / Resort Name ]],2,0))</f>
        <v/>
      </c>
    </row>
    <row r="329" spans="1:3" x14ac:dyDescent="0.25">
      <c r="A329" t="str">
        <f>IF(B328="","",_xlfn.XLOOKUP(B329,'Raw'!C:C,'Raw'!B:B))</f>
        <v/>
      </c>
      <c r="C329" t="str">
        <f>IF(B329="","",VLOOKUP(B329,RAW[[Hotel Code]:[Hotel / Resort Name ]],2,0))</f>
        <v/>
      </c>
    </row>
    <row r="330" spans="1:3" x14ac:dyDescent="0.25">
      <c r="A330" t="str">
        <f>IF(B329="","",_xlfn.XLOOKUP(B330,'Raw'!C:C,'Raw'!B:B))</f>
        <v/>
      </c>
      <c r="C330" t="str">
        <f>IF(B330="","",VLOOKUP(B330,RAW[[Hotel Code]:[Hotel / Resort Name ]],2,0))</f>
        <v/>
      </c>
    </row>
    <row r="331" spans="1:3" x14ac:dyDescent="0.25">
      <c r="A331" t="str">
        <f>IF(B330="","",_xlfn.XLOOKUP(B331,'Raw'!C:C,'Raw'!B:B))</f>
        <v/>
      </c>
      <c r="C331" t="str">
        <f>IF(B331="","",VLOOKUP(B331,RAW[[Hotel Code]:[Hotel / Resort Name ]],2,0))</f>
        <v/>
      </c>
    </row>
    <row r="332" spans="1:3" x14ac:dyDescent="0.25">
      <c r="A332" t="str">
        <f>IF(B331="","",_xlfn.XLOOKUP(B332,'Raw'!C:C,'Raw'!B:B))</f>
        <v/>
      </c>
      <c r="C332" t="str">
        <f>IF(B332="","",VLOOKUP(B332,RAW[[Hotel Code]:[Hotel / Resort Name ]],2,0))</f>
        <v/>
      </c>
    </row>
    <row r="333" spans="1:3" x14ac:dyDescent="0.25">
      <c r="A333" t="str">
        <f>IF(B332="","",_xlfn.XLOOKUP(B333,'Raw'!C:C,'Raw'!B:B))</f>
        <v/>
      </c>
      <c r="C333" t="str">
        <f>IF(B333="","",VLOOKUP(B333,RAW[[Hotel Code]:[Hotel / Resort Name ]],2,0))</f>
        <v/>
      </c>
    </row>
    <row r="334" spans="1:3" x14ac:dyDescent="0.25">
      <c r="A334" t="str">
        <f>IF(B333="","",_xlfn.XLOOKUP(B334,'Raw'!C:C,'Raw'!B:B))</f>
        <v/>
      </c>
      <c r="C334" t="str">
        <f>IF(B334="","",VLOOKUP(B334,RAW[[Hotel Code]:[Hotel / Resort Name ]],2,0))</f>
        <v/>
      </c>
    </row>
    <row r="335" spans="1:3" x14ac:dyDescent="0.25">
      <c r="A335" t="str">
        <f>IF(B334="","",_xlfn.XLOOKUP(B335,'Raw'!C:C,'Raw'!B:B))</f>
        <v/>
      </c>
      <c r="C335" t="str">
        <f>IF(B335="","",VLOOKUP(B335,RAW[[Hotel Code]:[Hotel / Resort Name ]],2,0))</f>
        <v/>
      </c>
    </row>
    <row r="336" spans="1:3" x14ac:dyDescent="0.25">
      <c r="A336" t="str">
        <f>IF(B335="","",_xlfn.XLOOKUP(B336,'Raw'!C:C,'Raw'!B:B))</f>
        <v/>
      </c>
      <c r="C336" t="str">
        <f>IF(B336="","",VLOOKUP(B336,RAW[[Hotel Code]:[Hotel / Resort Name ]],2,0))</f>
        <v/>
      </c>
    </row>
    <row r="337" spans="1:3" x14ac:dyDescent="0.25">
      <c r="A337" t="str">
        <f>IF(B336="","",_xlfn.XLOOKUP(B337,'Raw'!C:C,'Raw'!B:B))</f>
        <v/>
      </c>
      <c r="C337" t="str">
        <f>IF(B337="","",VLOOKUP(B337,RAW[[Hotel Code]:[Hotel / Resort Name ]],2,0))</f>
        <v/>
      </c>
    </row>
    <row r="338" spans="1:3" x14ac:dyDescent="0.25">
      <c r="A338" t="str">
        <f>IF(B337="","",_xlfn.XLOOKUP(B338,'Raw'!C:C,'Raw'!B:B))</f>
        <v/>
      </c>
      <c r="C338" t="str">
        <f>IF(B338="","",VLOOKUP(B338,RAW[[Hotel Code]:[Hotel / Resort Name ]],2,0))</f>
        <v/>
      </c>
    </row>
    <row r="339" spans="1:3" x14ac:dyDescent="0.25">
      <c r="A339" t="str">
        <f>IF(B338="","",_xlfn.XLOOKUP(B339,'Raw'!C:C,'Raw'!B:B))</f>
        <v/>
      </c>
      <c r="C339" t="str">
        <f>IF(B339="","",VLOOKUP(B339,RAW[[Hotel Code]:[Hotel / Resort Name ]],2,0))</f>
        <v/>
      </c>
    </row>
    <row r="340" spans="1:3" x14ac:dyDescent="0.25">
      <c r="A340" t="str">
        <f>IF(B339="","",_xlfn.XLOOKUP(B340,'Raw'!C:C,'Raw'!B:B))</f>
        <v/>
      </c>
      <c r="C340" t="str">
        <f>IF(B340="","",VLOOKUP(B340,RAW[[Hotel Code]:[Hotel / Resort Name ]],2,0))</f>
        <v/>
      </c>
    </row>
    <row r="341" spans="1:3" x14ac:dyDescent="0.25">
      <c r="A341" t="str">
        <f>IF(B340="","",_xlfn.XLOOKUP(B341,'Raw'!C:C,'Raw'!B:B))</f>
        <v/>
      </c>
      <c r="C341" t="str">
        <f>IF(B341="","",VLOOKUP(B341,RAW[[Hotel Code]:[Hotel / Resort Name ]],2,0))</f>
        <v/>
      </c>
    </row>
    <row r="342" spans="1:3" x14ac:dyDescent="0.25">
      <c r="A342" t="str">
        <f>IF(B341="","",_xlfn.XLOOKUP(B342,'Raw'!C:C,'Raw'!B:B))</f>
        <v/>
      </c>
      <c r="C342" t="str">
        <f>IF(B342="","",VLOOKUP(B342,RAW[[Hotel Code]:[Hotel / Resort Name ]],2,0))</f>
        <v/>
      </c>
    </row>
    <row r="343" spans="1:3" x14ac:dyDescent="0.25">
      <c r="A343" t="str">
        <f>IF(B342="","",_xlfn.XLOOKUP(B343,'Raw'!C:C,'Raw'!B:B))</f>
        <v/>
      </c>
      <c r="C343" t="str">
        <f>IF(B343="","",VLOOKUP(B343,RAW[[Hotel Code]:[Hotel / Resort Name ]],2,0))</f>
        <v/>
      </c>
    </row>
    <row r="344" spans="1:3" x14ac:dyDescent="0.25">
      <c r="A344" t="str">
        <f>IF(B343="","",_xlfn.XLOOKUP(B344,'Raw'!C:C,'Raw'!B:B))</f>
        <v/>
      </c>
      <c r="C344" t="str">
        <f>IF(B344="","",VLOOKUP(B344,RAW[[Hotel Code]:[Hotel / Resort Name ]],2,0))</f>
        <v/>
      </c>
    </row>
    <row r="345" spans="1:3" x14ac:dyDescent="0.25">
      <c r="A345" t="str">
        <f>IF(B344="","",_xlfn.XLOOKUP(B345,'Raw'!C:C,'Raw'!B:B))</f>
        <v/>
      </c>
      <c r="C345" t="str">
        <f>IF(B345="","",VLOOKUP(B345,RAW[[Hotel Code]:[Hotel / Resort Name ]],2,0))</f>
        <v/>
      </c>
    </row>
    <row r="346" spans="1:3" x14ac:dyDescent="0.25">
      <c r="A346" t="str">
        <f>IF(B345="","",_xlfn.XLOOKUP(B346,'Raw'!C:C,'Raw'!B:B))</f>
        <v/>
      </c>
      <c r="C346" t="str">
        <f>IF(B346="","",VLOOKUP(B346,RAW[[Hotel Code]:[Hotel / Resort Name ]],2,0))</f>
        <v/>
      </c>
    </row>
    <row r="347" spans="1:3" x14ac:dyDescent="0.25">
      <c r="A347" t="str">
        <f>IF(B346="","",_xlfn.XLOOKUP(B347,'Raw'!C:C,'Raw'!B:B))</f>
        <v/>
      </c>
      <c r="C347" t="str">
        <f>IF(B347="","",VLOOKUP(B347,RAW[[Hotel Code]:[Hotel / Resort Name ]],2,0))</f>
        <v/>
      </c>
    </row>
    <row r="348" spans="1:3" x14ac:dyDescent="0.25">
      <c r="A348" t="str">
        <f>IF(B347="","",_xlfn.XLOOKUP(B348,'Raw'!C:C,'Raw'!B:B))</f>
        <v/>
      </c>
      <c r="C348" t="str">
        <f>IF(B348="","",VLOOKUP(B348,RAW[[Hotel Code]:[Hotel / Resort Name ]],2,0))</f>
        <v/>
      </c>
    </row>
    <row r="349" spans="1:3" x14ac:dyDescent="0.25">
      <c r="A349" t="str">
        <f>IF(B348="","",_xlfn.XLOOKUP(B349,'Raw'!C:C,'Raw'!B:B))</f>
        <v/>
      </c>
      <c r="C349" t="str">
        <f>IF(B349="","",VLOOKUP(B349,RAW[[Hotel Code]:[Hotel / Resort Name ]],2,0))</f>
        <v/>
      </c>
    </row>
    <row r="350" spans="1:3" x14ac:dyDescent="0.25">
      <c r="A350" t="str">
        <f>IF(B349="","",_xlfn.XLOOKUP(B350,'Raw'!C:C,'Raw'!B:B))</f>
        <v/>
      </c>
      <c r="C350" t="str">
        <f>IF(B350="","",VLOOKUP(B350,RAW[[Hotel Code]:[Hotel / Resort Name ]],2,0))</f>
        <v/>
      </c>
    </row>
    <row r="351" spans="1:3" x14ac:dyDescent="0.25">
      <c r="A351" t="str">
        <f>IF(B350="","",_xlfn.XLOOKUP(B351,'Raw'!C:C,'Raw'!B:B))</f>
        <v/>
      </c>
      <c r="C351" t="str">
        <f>IF(B351="","",VLOOKUP(B351,RAW[[Hotel Code]:[Hotel / Resort Name ]],2,0))</f>
        <v/>
      </c>
    </row>
    <row r="352" spans="1:3" x14ac:dyDescent="0.25">
      <c r="A352" t="str">
        <f>IF(B351="","",_xlfn.XLOOKUP(B352,'Raw'!C:C,'Raw'!B:B))</f>
        <v/>
      </c>
      <c r="C352" t="str">
        <f>IF(B352="","",VLOOKUP(B352,RAW[[Hotel Code]:[Hotel / Resort Name ]],2,0))</f>
        <v/>
      </c>
    </row>
    <row r="353" spans="1:3" x14ac:dyDescent="0.25">
      <c r="A353" t="str">
        <f>IF(B352="","",_xlfn.XLOOKUP(B353,'Raw'!C:C,'Raw'!B:B))</f>
        <v/>
      </c>
      <c r="C353" t="str">
        <f>IF(B353="","",VLOOKUP(B353,RAW[[Hotel Code]:[Hotel / Resort Name ]],2,0))</f>
        <v/>
      </c>
    </row>
    <row r="354" spans="1:3" x14ac:dyDescent="0.25">
      <c r="A354" t="str">
        <f>IF(B353="","",_xlfn.XLOOKUP(B354,'Raw'!C:C,'Raw'!B:B))</f>
        <v/>
      </c>
      <c r="C354" t="str">
        <f>IF(B354="","",VLOOKUP(B354,RAW[[Hotel Code]:[Hotel / Resort Name ]],2,0))</f>
        <v/>
      </c>
    </row>
    <row r="355" spans="1:3" x14ac:dyDescent="0.25">
      <c r="A355" t="str">
        <f>IF(B354="","",_xlfn.XLOOKUP(B355,'Raw'!C:C,'Raw'!B:B))</f>
        <v/>
      </c>
      <c r="C355" t="str">
        <f>IF(B355="","",VLOOKUP(B355,RAW[[Hotel Code]:[Hotel / Resort Name ]],2,0))</f>
        <v/>
      </c>
    </row>
    <row r="356" spans="1:3" x14ac:dyDescent="0.25">
      <c r="A356" t="str">
        <f>IF(B355="","",_xlfn.XLOOKUP(B356,'Raw'!C:C,'Raw'!B:B))</f>
        <v/>
      </c>
      <c r="C356" t="str">
        <f>IF(B356="","",VLOOKUP(B356,RAW[[Hotel Code]:[Hotel / Resort Name ]],2,0))</f>
        <v/>
      </c>
    </row>
    <row r="357" spans="1:3" x14ac:dyDescent="0.25">
      <c r="A357" t="str">
        <f>IF(B356="","",_xlfn.XLOOKUP(B357,'Raw'!C:C,'Raw'!B:B))</f>
        <v/>
      </c>
      <c r="C357" t="str">
        <f>IF(B357="","",VLOOKUP(B357,RAW[[Hotel Code]:[Hotel / Resort Name ]],2,0))</f>
        <v/>
      </c>
    </row>
    <row r="358" spans="1:3" x14ac:dyDescent="0.25">
      <c r="A358" t="str">
        <f>IF(B357="","",_xlfn.XLOOKUP(B358,'Raw'!C:C,'Raw'!B:B))</f>
        <v/>
      </c>
      <c r="C358" t="str">
        <f>IF(B358="","",VLOOKUP(B358,RAW[[Hotel Code]:[Hotel / Resort Name ]],2,0))</f>
        <v/>
      </c>
    </row>
    <row r="359" spans="1:3" x14ac:dyDescent="0.25">
      <c r="A359" t="str">
        <f>IF(B358="","",_xlfn.XLOOKUP(B359,'Raw'!C:C,'Raw'!B:B))</f>
        <v/>
      </c>
      <c r="C359" t="str">
        <f>IF(B359="","",VLOOKUP(B359,RAW[[Hotel Code]:[Hotel / Resort Name ]],2,0))</f>
        <v/>
      </c>
    </row>
    <row r="360" spans="1:3" x14ac:dyDescent="0.25">
      <c r="A360" t="str">
        <f>IF(B359="","",_xlfn.XLOOKUP(B360,'Raw'!C:C,'Raw'!B:B))</f>
        <v/>
      </c>
      <c r="C360" t="str">
        <f>IF(B360="","",VLOOKUP(B360,RAW[[Hotel Code]:[Hotel / Resort Name ]],2,0))</f>
        <v/>
      </c>
    </row>
    <row r="361" spans="1:3" x14ac:dyDescent="0.25">
      <c r="A361" t="str">
        <f>IF(B360="","",_xlfn.XLOOKUP(B361,'Raw'!C:C,'Raw'!B:B))</f>
        <v/>
      </c>
      <c r="C361" t="str">
        <f>IF(B361="","",VLOOKUP(B361,RAW[[Hotel Code]:[Hotel / Resort Name ]],2,0))</f>
        <v/>
      </c>
    </row>
    <row r="362" spans="1:3" x14ac:dyDescent="0.25">
      <c r="A362" t="str">
        <f>IF(B361="","",_xlfn.XLOOKUP(B362,'Raw'!C:C,'Raw'!B:B))</f>
        <v/>
      </c>
      <c r="C362" t="str">
        <f>IF(B362="","",VLOOKUP(B362,RAW[[Hotel Code]:[Hotel / Resort Name ]],2,0))</f>
        <v/>
      </c>
    </row>
    <row r="363" spans="1:3" x14ac:dyDescent="0.25">
      <c r="A363" t="str">
        <f>IF(B362="","",_xlfn.XLOOKUP(B363,'Raw'!C:C,'Raw'!B:B))</f>
        <v/>
      </c>
      <c r="C363" t="str">
        <f>IF(B363="","",VLOOKUP(B363,RAW[[Hotel Code]:[Hotel / Resort Name ]],2,0))</f>
        <v/>
      </c>
    </row>
    <row r="364" spans="1:3" x14ac:dyDescent="0.25">
      <c r="A364" t="str">
        <f>IF(B363="","",_xlfn.XLOOKUP(B364,'Raw'!C:C,'Raw'!B:B))</f>
        <v/>
      </c>
      <c r="C364" t="str">
        <f>IF(B364="","",VLOOKUP(B364,RAW[[Hotel Code]:[Hotel / Resort Name ]],2,0))</f>
        <v/>
      </c>
    </row>
    <row r="365" spans="1:3" x14ac:dyDescent="0.25">
      <c r="A365" t="str">
        <f>IF(B364="","",_xlfn.XLOOKUP(B365,'Raw'!C:C,'Raw'!B:B))</f>
        <v/>
      </c>
      <c r="C365" t="str">
        <f>IF(B365="","",VLOOKUP(B365,RAW[[Hotel Code]:[Hotel / Resort Name ]],2,0))</f>
        <v/>
      </c>
    </row>
    <row r="366" spans="1:3" x14ac:dyDescent="0.25">
      <c r="A366" t="str">
        <f>IF(B365="","",_xlfn.XLOOKUP(B366,'Raw'!C:C,'Raw'!B:B))</f>
        <v/>
      </c>
      <c r="C366" t="str">
        <f>IF(B366="","",VLOOKUP(B366,RAW[[Hotel Code]:[Hotel / Resort Name ]],2,0))</f>
        <v/>
      </c>
    </row>
    <row r="367" spans="1:3" x14ac:dyDescent="0.25">
      <c r="A367" t="str">
        <f>IF(B366="","",_xlfn.XLOOKUP(B367,'Raw'!C:C,'Raw'!B:B))</f>
        <v/>
      </c>
      <c r="C367" t="str">
        <f>IF(B367="","",VLOOKUP(B367,RAW[[Hotel Code]:[Hotel / Resort Name ]],2,0))</f>
        <v/>
      </c>
    </row>
    <row r="368" spans="1:3" x14ac:dyDescent="0.25">
      <c r="A368" t="str">
        <f>IF(B367="","",_xlfn.XLOOKUP(B368,'Raw'!C:C,'Raw'!B:B))</f>
        <v/>
      </c>
      <c r="C368" t="str">
        <f>IF(B368="","",VLOOKUP(B368,RAW[[Hotel Code]:[Hotel / Resort Name ]],2,0))</f>
        <v/>
      </c>
    </row>
    <row r="369" spans="1:3" x14ac:dyDescent="0.25">
      <c r="A369" t="str">
        <f>IF(B368="","",_xlfn.XLOOKUP(B369,'Raw'!C:C,'Raw'!B:B))</f>
        <v/>
      </c>
      <c r="C369" t="str">
        <f>IF(B369="","",VLOOKUP(B369,RAW[[Hotel Code]:[Hotel / Resort Name ]],2,0))</f>
        <v/>
      </c>
    </row>
    <row r="370" spans="1:3" x14ac:dyDescent="0.25">
      <c r="A370" t="str">
        <f>IF(B369="","",_xlfn.XLOOKUP(B370,'Raw'!C:C,'Raw'!B:B))</f>
        <v/>
      </c>
      <c r="C370" t="str">
        <f>IF(B370="","",VLOOKUP(B370,RAW[[Hotel Code]:[Hotel / Resort Name ]],2,0))</f>
        <v/>
      </c>
    </row>
    <row r="371" spans="1:3" x14ac:dyDescent="0.25">
      <c r="A371" t="str">
        <f>IF(B370="","",_xlfn.XLOOKUP(B371,'Raw'!C:C,'Raw'!B:B))</f>
        <v/>
      </c>
      <c r="C371" t="str">
        <f>IF(B371="","",VLOOKUP(B371,RAW[[Hotel Code]:[Hotel / Resort Name ]],2,0))</f>
        <v/>
      </c>
    </row>
    <row r="372" spans="1:3" x14ac:dyDescent="0.25">
      <c r="A372" t="str">
        <f>IF(B371="","",_xlfn.XLOOKUP(B372,'Raw'!C:C,'Raw'!B:B))</f>
        <v/>
      </c>
      <c r="C372" t="str">
        <f>IF(B372="","",VLOOKUP(B372,RAW[[Hotel Code]:[Hotel / Resort Name ]],2,0))</f>
        <v/>
      </c>
    </row>
    <row r="373" spans="1:3" x14ac:dyDescent="0.25">
      <c r="A373" t="str">
        <f>IF(B372="","",_xlfn.XLOOKUP(B373,'Raw'!C:C,'Raw'!B:B))</f>
        <v/>
      </c>
      <c r="C373" t="str">
        <f>IF(B373="","",VLOOKUP(B373,RAW[[Hotel Code]:[Hotel / Resort Name ]],2,0))</f>
        <v/>
      </c>
    </row>
    <row r="374" spans="1:3" x14ac:dyDescent="0.25">
      <c r="A374" t="str">
        <f>IF(B373="","",_xlfn.XLOOKUP(B374,'Raw'!C:C,'Raw'!B:B))</f>
        <v/>
      </c>
      <c r="C374" t="str">
        <f>IF(B374="","",VLOOKUP(B374,RAW[[Hotel Code]:[Hotel / Resort Name ]],2,0))</f>
        <v/>
      </c>
    </row>
    <row r="375" spans="1:3" x14ac:dyDescent="0.25">
      <c r="A375" t="str">
        <f>IF(B374="","",_xlfn.XLOOKUP(B375,'Raw'!C:C,'Raw'!B:B))</f>
        <v/>
      </c>
      <c r="C375" t="str">
        <f>IF(B375="","",VLOOKUP(B375,RAW[[Hotel Code]:[Hotel / Resort Name ]],2,0))</f>
        <v/>
      </c>
    </row>
    <row r="376" spans="1:3" x14ac:dyDescent="0.25">
      <c r="A376" t="str">
        <f>IF(B375="","",_xlfn.XLOOKUP(B376,'Raw'!C:C,'Raw'!B:B))</f>
        <v/>
      </c>
      <c r="C376" t="str">
        <f>IF(B376="","",VLOOKUP(B376,RAW[[Hotel Code]:[Hotel / Resort Name ]],2,0))</f>
        <v/>
      </c>
    </row>
    <row r="377" spans="1:3" x14ac:dyDescent="0.25">
      <c r="A377" t="str">
        <f>IF(B376="","",_xlfn.XLOOKUP(B377,'Raw'!C:C,'Raw'!B:B))</f>
        <v/>
      </c>
      <c r="C377" t="str">
        <f>IF(B377="","",VLOOKUP(B377,RAW[[Hotel Code]:[Hotel / Resort Name ]],2,0))</f>
        <v/>
      </c>
    </row>
    <row r="378" spans="1:3" x14ac:dyDescent="0.25">
      <c r="A378" t="str">
        <f>IF(B377="","",_xlfn.XLOOKUP(B378,'Raw'!C:C,'Raw'!B:B))</f>
        <v/>
      </c>
      <c r="C378" t="str">
        <f>IF(B378="","",VLOOKUP(B378,RAW[[Hotel Code]:[Hotel / Resort Name ]],2,0))</f>
        <v/>
      </c>
    </row>
    <row r="379" spans="1:3" x14ac:dyDescent="0.25">
      <c r="A379" t="str">
        <f>IF(B378="","",_xlfn.XLOOKUP(B379,'Raw'!C:C,'Raw'!B:B))</f>
        <v/>
      </c>
      <c r="C379" t="str">
        <f>IF(B379="","",VLOOKUP(B379,RAW[[Hotel Code]:[Hotel / Resort Name ]],2,0))</f>
        <v/>
      </c>
    </row>
    <row r="380" spans="1:3" x14ac:dyDescent="0.25">
      <c r="A380" t="str">
        <f>IF(B379="","",_xlfn.XLOOKUP(B380,'Raw'!C:C,'Raw'!B:B))</f>
        <v/>
      </c>
      <c r="C380" t="str">
        <f>IF(B380="","",VLOOKUP(B380,RAW[[Hotel Code]:[Hotel / Resort Name ]],2,0))</f>
        <v/>
      </c>
    </row>
    <row r="381" spans="1:3" x14ac:dyDescent="0.25">
      <c r="A381" t="str">
        <f>IF(B380="","",_xlfn.XLOOKUP(B381,'Raw'!C:C,'Raw'!B:B))</f>
        <v/>
      </c>
      <c r="C381" t="str">
        <f>IF(B381="","",VLOOKUP(B381,RAW[[Hotel Code]:[Hotel / Resort Name ]],2,0))</f>
        <v/>
      </c>
    </row>
    <row r="382" spans="1:3" x14ac:dyDescent="0.25">
      <c r="A382" t="str">
        <f>IF(B381="","",_xlfn.XLOOKUP(B382,'Raw'!C:C,'Raw'!B:B))</f>
        <v/>
      </c>
      <c r="C382" t="str">
        <f>IF(B382="","",VLOOKUP(B382,RAW[[Hotel Code]:[Hotel / Resort Name ]],2,0))</f>
        <v/>
      </c>
    </row>
    <row r="383" spans="1:3" x14ac:dyDescent="0.25">
      <c r="A383" t="str">
        <f>IF(B382="","",_xlfn.XLOOKUP(B383,'Raw'!C:C,'Raw'!B:B))</f>
        <v/>
      </c>
      <c r="C383" t="str">
        <f>IF(B383="","",VLOOKUP(B383,RAW[[Hotel Code]:[Hotel / Resort Name ]],2,0))</f>
        <v/>
      </c>
    </row>
    <row r="384" spans="1:3" x14ac:dyDescent="0.25">
      <c r="A384" t="str">
        <f>IF(B383="","",_xlfn.XLOOKUP(B384,'Raw'!C:C,'Raw'!B:B))</f>
        <v/>
      </c>
      <c r="C384" t="str">
        <f>IF(B384="","",VLOOKUP(B384,RAW[[Hotel Code]:[Hotel / Resort Name ]],2,0))</f>
        <v/>
      </c>
    </row>
    <row r="385" spans="1:3" x14ac:dyDescent="0.25">
      <c r="A385" t="str">
        <f>IF(B384="","",_xlfn.XLOOKUP(B385,'Raw'!C:C,'Raw'!B:B))</f>
        <v/>
      </c>
      <c r="C385" t="str">
        <f>IF(B385="","",VLOOKUP(B385,RAW[[Hotel Code]:[Hotel / Resort Name ]],2,0))</f>
        <v/>
      </c>
    </row>
    <row r="386" spans="1:3" x14ac:dyDescent="0.25">
      <c r="A386" t="str">
        <f>IF(B385="","",_xlfn.XLOOKUP(B386,'Raw'!C:C,'Raw'!B:B))</f>
        <v/>
      </c>
      <c r="C386" t="str">
        <f>IF(B386="","",VLOOKUP(B386,RAW[[Hotel Code]:[Hotel / Resort Name ]],2,0))</f>
        <v/>
      </c>
    </row>
    <row r="387" spans="1:3" x14ac:dyDescent="0.25">
      <c r="A387" t="str">
        <f>IF(B386="","",_xlfn.XLOOKUP(B387,'Raw'!C:C,'Raw'!B:B))</f>
        <v/>
      </c>
      <c r="C387" t="str">
        <f>IF(B387="","",VLOOKUP(B387,RAW[[Hotel Code]:[Hotel / Resort Name ]],2,0))</f>
        <v/>
      </c>
    </row>
    <row r="388" spans="1:3" x14ac:dyDescent="0.25">
      <c r="A388" t="str">
        <f>IF(B387="","",_xlfn.XLOOKUP(B388,'Raw'!C:C,'Raw'!B:B))</f>
        <v/>
      </c>
      <c r="C388" t="str">
        <f>IF(B388="","",VLOOKUP(B388,RAW[[Hotel Code]:[Hotel / Resort Name ]],2,0))</f>
        <v/>
      </c>
    </row>
    <row r="389" spans="1:3" x14ac:dyDescent="0.25">
      <c r="A389" t="str">
        <f>IF(B388="","",_xlfn.XLOOKUP(B389,'Raw'!C:C,'Raw'!B:B))</f>
        <v/>
      </c>
      <c r="C389" t="str">
        <f>IF(B389="","",VLOOKUP(B389,RAW[[Hotel Code]:[Hotel / Resort Name ]],2,0))</f>
        <v/>
      </c>
    </row>
    <row r="390" spans="1:3" x14ac:dyDescent="0.25">
      <c r="A390" t="str">
        <f>IF(B389="","",_xlfn.XLOOKUP(B390,'Raw'!C:C,'Raw'!B:B))</f>
        <v/>
      </c>
      <c r="C390" t="str">
        <f>IF(B390="","",VLOOKUP(B390,RAW[[Hotel Code]:[Hotel / Resort Name ]],2,0))</f>
        <v/>
      </c>
    </row>
    <row r="391" spans="1:3" x14ac:dyDescent="0.25">
      <c r="A391" t="str">
        <f>IF(B390="","",_xlfn.XLOOKUP(B391,'Raw'!C:C,'Raw'!B:B))</f>
        <v/>
      </c>
      <c r="C391" t="str">
        <f>IF(B391="","",VLOOKUP(B391,RAW[[Hotel Code]:[Hotel / Resort Name ]],2,0))</f>
        <v/>
      </c>
    </row>
    <row r="392" spans="1:3" x14ac:dyDescent="0.25">
      <c r="A392" t="str">
        <f>IF(B391="","",_xlfn.XLOOKUP(B392,'Raw'!C:C,'Raw'!B:B))</f>
        <v/>
      </c>
      <c r="C392" t="str">
        <f>IF(B392="","",VLOOKUP(B392,RAW[[Hotel Code]:[Hotel / Resort Name ]],2,0))</f>
        <v/>
      </c>
    </row>
    <row r="393" spans="1:3" x14ac:dyDescent="0.25">
      <c r="A393" t="str">
        <f>IF(B392="","",_xlfn.XLOOKUP(B393,'Raw'!C:C,'Raw'!B:B))</f>
        <v/>
      </c>
      <c r="C393" t="str">
        <f>IF(B393="","",VLOOKUP(B393,RAW[[Hotel Code]:[Hotel / Resort Name ]],2,0))</f>
        <v/>
      </c>
    </row>
    <row r="394" spans="1:3" x14ac:dyDescent="0.25">
      <c r="A394" t="str">
        <f>IF(B393="","",_xlfn.XLOOKUP(B394,'Raw'!C:C,'Raw'!B:B))</f>
        <v/>
      </c>
      <c r="C394" t="str">
        <f>IF(B394="","",VLOOKUP(B394,RAW[[Hotel Code]:[Hotel / Resort Name ]],2,0))</f>
        <v/>
      </c>
    </row>
    <row r="395" spans="1:3" x14ac:dyDescent="0.25">
      <c r="A395" t="str">
        <f>IF(B394="","",_xlfn.XLOOKUP(B395,'Raw'!C:C,'Raw'!B:B))</f>
        <v/>
      </c>
      <c r="C395" t="str">
        <f>IF(B395="","",VLOOKUP(B395,RAW[[Hotel Code]:[Hotel / Resort Name ]],2,0))</f>
        <v/>
      </c>
    </row>
    <row r="396" spans="1:3" x14ac:dyDescent="0.25">
      <c r="A396" t="str">
        <f>IF(B395="","",_xlfn.XLOOKUP(B396,'Raw'!C:C,'Raw'!B:B))</f>
        <v/>
      </c>
      <c r="C396" t="str">
        <f>IF(B396="","",VLOOKUP(B396,RAW[[Hotel Code]:[Hotel / Resort Name ]],2,0))</f>
        <v/>
      </c>
    </row>
    <row r="397" spans="1:3" x14ac:dyDescent="0.25">
      <c r="A397" t="str">
        <f>IF(B396="","",_xlfn.XLOOKUP(B397,'Raw'!C:C,'Raw'!B:B))</f>
        <v/>
      </c>
      <c r="C397" t="str">
        <f>IF(B397="","",VLOOKUP(B397,RAW[[Hotel Code]:[Hotel / Resort Name ]],2,0))</f>
        <v/>
      </c>
    </row>
    <row r="398" spans="1:3" x14ac:dyDescent="0.25">
      <c r="A398" t="str">
        <f>IF(B397="","",_xlfn.XLOOKUP(B398,'Raw'!C:C,'Raw'!B:B))</f>
        <v/>
      </c>
      <c r="C398" t="str">
        <f>IF(B398="","",VLOOKUP(B398,RAW[[Hotel Code]:[Hotel / Resort Name ]],2,0))</f>
        <v/>
      </c>
    </row>
    <row r="399" spans="1:3" x14ac:dyDescent="0.25">
      <c r="A399" t="str">
        <f>IF(B398="","",_xlfn.XLOOKUP(B399,'Raw'!C:C,'Raw'!B:B))</f>
        <v/>
      </c>
      <c r="C399" t="str">
        <f>IF(B399="","",VLOOKUP(B399,RAW[[Hotel Code]:[Hotel / Resort Name ]],2,0))</f>
        <v/>
      </c>
    </row>
    <row r="400" spans="1:3" x14ac:dyDescent="0.25">
      <c r="A400" t="str">
        <f>IF(B399="","",_xlfn.XLOOKUP(B400,'Raw'!C:C,'Raw'!B:B))</f>
        <v/>
      </c>
      <c r="C400" t="str">
        <f>IF(B400="","",VLOOKUP(B400,RAW[[Hotel Code]:[Hotel / Resort Name ]],2,0))</f>
        <v/>
      </c>
    </row>
    <row r="401" spans="1:3" x14ac:dyDescent="0.25">
      <c r="A401" t="str">
        <f>IF(B400="","",_xlfn.XLOOKUP(B401,'Raw'!C:C,'Raw'!B:B))</f>
        <v/>
      </c>
      <c r="C401" t="str">
        <f>IF(B401="","",VLOOKUP(B401,RAW[[Hotel Code]:[Hotel / Resort Name ]],2,0))</f>
        <v/>
      </c>
    </row>
    <row r="402" spans="1:3" x14ac:dyDescent="0.25">
      <c r="A402" t="str">
        <f>IF(B401="","",_xlfn.XLOOKUP(B402,'Raw'!C:C,'Raw'!B:B))</f>
        <v/>
      </c>
      <c r="C402" t="str">
        <f>IF(B402="","",VLOOKUP(B402,RAW[[Hotel Code]:[Hotel / Resort Name ]],2,0))</f>
        <v/>
      </c>
    </row>
    <row r="403" spans="1:3" x14ac:dyDescent="0.25">
      <c r="A403" t="str">
        <f>IF(B402="","",_xlfn.XLOOKUP(B403,'Raw'!C:C,'Raw'!B:B))</f>
        <v/>
      </c>
      <c r="C403" t="str">
        <f>IF(B403="","",VLOOKUP(B403,RAW[[Hotel Code]:[Hotel / Resort Name ]],2,0))</f>
        <v/>
      </c>
    </row>
    <row r="404" spans="1:3" x14ac:dyDescent="0.25">
      <c r="A404" t="str">
        <f>IF(B403="","",_xlfn.XLOOKUP(B404,'Raw'!C:C,'Raw'!B:B))</f>
        <v/>
      </c>
      <c r="C404" t="str">
        <f>IF(B404="","",VLOOKUP(B404,RAW[[Hotel Code]:[Hotel / Resort Name ]],2,0))</f>
        <v/>
      </c>
    </row>
    <row r="405" spans="1:3" x14ac:dyDescent="0.25">
      <c r="A405" t="str">
        <f>IF(B404="","",_xlfn.XLOOKUP(B405,'Raw'!C:C,'Raw'!B:B))</f>
        <v/>
      </c>
      <c r="C405" t="str">
        <f>IF(B405="","",VLOOKUP(B405,RAW[[Hotel Code]:[Hotel / Resort Name ]],2,0))</f>
        <v/>
      </c>
    </row>
    <row r="406" spans="1:3" x14ac:dyDescent="0.25">
      <c r="A406" t="str">
        <f>IF(B405="","",_xlfn.XLOOKUP(B406,'Raw'!C:C,'Raw'!B:B))</f>
        <v/>
      </c>
      <c r="C406" t="str">
        <f>IF(B406="","",VLOOKUP(B406,RAW[[Hotel Code]:[Hotel / Resort Name ]],2,0))</f>
        <v/>
      </c>
    </row>
    <row r="407" spans="1:3" x14ac:dyDescent="0.25">
      <c r="A407" t="str">
        <f>IF(B406="","",_xlfn.XLOOKUP(B407,'Raw'!C:C,'Raw'!B:B))</f>
        <v/>
      </c>
      <c r="C407" t="str">
        <f>IF(B407="","",VLOOKUP(B407,RAW[[Hotel Code]:[Hotel / Resort Name ]],2,0))</f>
        <v/>
      </c>
    </row>
    <row r="408" spans="1:3" x14ac:dyDescent="0.25">
      <c r="A408" t="str">
        <f>IF(B407="","",_xlfn.XLOOKUP(B408,'Raw'!C:C,'Raw'!B:B))</f>
        <v/>
      </c>
      <c r="C408" t="str">
        <f>IF(B408="","",VLOOKUP(B408,RAW[[Hotel Code]:[Hotel / Resort Name ]],2,0))</f>
        <v/>
      </c>
    </row>
    <row r="409" spans="1:3" x14ac:dyDescent="0.25">
      <c r="A409" t="str">
        <f>IF(B408="","",_xlfn.XLOOKUP(B409,'Raw'!C:C,'Raw'!B:B))</f>
        <v/>
      </c>
      <c r="C409" t="str">
        <f>IF(B409="","",VLOOKUP(B409,RAW[[Hotel Code]:[Hotel / Resort Name ]],2,0))</f>
        <v/>
      </c>
    </row>
    <row r="410" spans="1:3" x14ac:dyDescent="0.25">
      <c r="A410" t="str">
        <f>IF(B409="","",_xlfn.XLOOKUP(B410,'Raw'!C:C,'Raw'!B:B))</f>
        <v/>
      </c>
      <c r="C410" t="str">
        <f>IF(B410="","",VLOOKUP(B410,RAW[[Hotel Code]:[Hotel / Resort Name ]],2,0))</f>
        <v/>
      </c>
    </row>
    <row r="411" spans="1:3" x14ac:dyDescent="0.25">
      <c r="A411" t="str">
        <f>IF(B410="","",_xlfn.XLOOKUP(B411,'Raw'!C:C,'Raw'!B:B))</f>
        <v/>
      </c>
      <c r="C411" t="str">
        <f>IF(B411="","",VLOOKUP(B411,RAW[[Hotel Code]:[Hotel / Resort Name ]],2,0))</f>
        <v/>
      </c>
    </row>
    <row r="412" spans="1:3" x14ac:dyDescent="0.25">
      <c r="A412" t="str">
        <f>IF(B411="","",_xlfn.XLOOKUP(B412,'Raw'!C:C,'Raw'!B:B))</f>
        <v/>
      </c>
      <c r="C412" t="str">
        <f>IF(B412="","",VLOOKUP(B412,RAW[[Hotel Code]:[Hotel / Resort Name ]],2,0))</f>
        <v/>
      </c>
    </row>
    <row r="413" spans="1:3" x14ac:dyDescent="0.25">
      <c r="A413" t="str">
        <f>IF(B412="","",_xlfn.XLOOKUP(B413,'Raw'!C:C,'Raw'!B:B))</f>
        <v/>
      </c>
      <c r="C413" t="str">
        <f>IF(B413="","",VLOOKUP(B413,RAW[[Hotel Code]:[Hotel / Resort Name ]],2,0))</f>
        <v/>
      </c>
    </row>
    <row r="414" spans="1:3" x14ac:dyDescent="0.25">
      <c r="A414" t="str">
        <f>IF(B413="","",_xlfn.XLOOKUP(B414,'Raw'!C:C,'Raw'!B:B))</f>
        <v/>
      </c>
      <c r="C414" t="str">
        <f>IF(B414="","",VLOOKUP(B414,RAW[[Hotel Code]:[Hotel / Resort Name ]],2,0))</f>
        <v/>
      </c>
    </row>
    <row r="415" spans="1:3" x14ac:dyDescent="0.25">
      <c r="A415" t="str">
        <f>IF(B414="","",_xlfn.XLOOKUP(B415,'Raw'!C:C,'Raw'!B:B))</f>
        <v/>
      </c>
      <c r="C415" t="str">
        <f>IF(B415="","",VLOOKUP(B415,RAW[[Hotel Code]:[Hotel / Resort Name ]],2,0))</f>
        <v/>
      </c>
    </row>
    <row r="416" spans="1:3" x14ac:dyDescent="0.25">
      <c r="A416" t="str">
        <f>IF(B415="","",_xlfn.XLOOKUP(B416,'Raw'!C:C,'Raw'!B:B))</f>
        <v/>
      </c>
      <c r="C416" t="str">
        <f>IF(B416="","",VLOOKUP(B416,RAW[[Hotel Code]:[Hotel / Resort Name ]],2,0))</f>
        <v/>
      </c>
    </row>
    <row r="417" spans="1:3" x14ac:dyDescent="0.25">
      <c r="A417" t="str">
        <f>IF(B416="","",_xlfn.XLOOKUP(B417,'Raw'!C:C,'Raw'!B:B))</f>
        <v/>
      </c>
      <c r="C417" t="str">
        <f>IF(B417="","",VLOOKUP(B417,RAW[[Hotel Code]:[Hotel / Resort Name ]],2,0))</f>
        <v/>
      </c>
    </row>
    <row r="418" spans="1:3" x14ac:dyDescent="0.25">
      <c r="A418" t="str">
        <f>IF(B417="","",_xlfn.XLOOKUP(B418,'Raw'!C:C,'Raw'!B:B))</f>
        <v/>
      </c>
      <c r="C418" t="str">
        <f>IF(B418="","",VLOOKUP(B418,RAW[[Hotel Code]:[Hotel / Resort Name ]],2,0))</f>
        <v/>
      </c>
    </row>
    <row r="419" spans="1:3" x14ac:dyDescent="0.25">
      <c r="A419" t="str">
        <f>IF(B418="","",_xlfn.XLOOKUP(B419,'Raw'!C:C,'Raw'!B:B))</f>
        <v/>
      </c>
      <c r="C419" t="str">
        <f>IF(B419="","",VLOOKUP(B419,RAW[[Hotel Code]:[Hotel / Resort Name ]],2,0))</f>
        <v/>
      </c>
    </row>
    <row r="420" spans="1:3" x14ac:dyDescent="0.25">
      <c r="A420" t="str">
        <f>IF(B419="","",_xlfn.XLOOKUP(B420,'Raw'!C:C,'Raw'!B:B))</f>
        <v/>
      </c>
      <c r="C420" t="str">
        <f>IF(B420="","",VLOOKUP(B420,RAW[[Hotel Code]:[Hotel / Resort Name ]],2,0))</f>
        <v/>
      </c>
    </row>
    <row r="421" spans="1:3" x14ac:dyDescent="0.25">
      <c r="A421" t="str">
        <f>IF(B420="","",_xlfn.XLOOKUP(B421,'Raw'!C:C,'Raw'!B:B))</f>
        <v/>
      </c>
      <c r="C421" t="str">
        <f>IF(B421="","",VLOOKUP(B421,RAW[[Hotel Code]:[Hotel / Resort Name ]],2,0))</f>
        <v/>
      </c>
    </row>
    <row r="422" spans="1:3" x14ac:dyDescent="0.25">
      <c r="A422" t="str">
        <f>IF(B421="","",_xlfn.XLOOKUP(B422,'Raw'!C:C,'Raw'!B:B))</f>
        <v/>
      </c>
      <c r="C422" t="str">
        <f>IF(B422="","",VLOOKUP(B422,RAW[[Hotel Code]:[Hotel / Resort Name ]],2,0))</f>
        <v/>
      </c>
    </row>
    <row r="423" spans="1:3" x14ac:dyDescent="0.25">
      <c r="A423" t="str">
        <f>IF(B422="","",_xlfn.XLOOKUP(B423,'Raw'!C:C,'Raw'!B:B))</f>
        <v/>
      </c>
      <c r="C423" t="str">
        <f>IF(B423="","",VLOOKUP(B423,RAW[[Hotel Code]:[Hotel / Resort Name ]],2,0))</f>
        <v/>
      </c>
    </row>
    <row r="424" spans="1:3" x14ac:dyDescent="0.25">
      <c r="A424" t="str">
        <f>IF(B423="","",_xlfn.XLOOKUP(B424,'Raw'!C:C,'Raw'!B:B))</f>
        <v/>
      </c>
      <c r="C424" t="str">
        <f>IF(B424="","",VLOOKUP(B424,RAW[[Hotel Code]:[Hotel / Resort Name ]],2,0))</f>
        <v/>
      </c>
    </row>
    <row r="425" spans="1:3" x14ac:dyDescent="0.25">
      <c r="A425" t="str">
        <f>IF(B424="","",_xlfn.XLOOKUP(B425,'Raw'!C:C,'Raw'!B:B))</f>
        <v/>
      </c>
      <c r="C425" t="str">
        <f>IF(B425="","",VLOOKUP(B425,RAW[[Hotel Code]:[Hotel / Resort Name ]],2,0))</f>
        <v/>
      </c>
    </row>
    <row r="426" spans="1:3" x14ac:dyDescent="0.25">
      <c r="A426" t="str">
        <f>IF(B425="","",_xlfn.XLOOKUP(B426,'Raw'!C:C,'Raw'!B:B))</f>
        <v/>
      </c>
      <c r="C426" t="str">
        <f>IF(B426="","",VLOOKUP(B426,RAW[[Hotel Code]:[Hotel / Resort Name ]],2,0))</f>
        <v/>
      </c>
    </row>
    <row r="427" spans="1:3" x14ac:dyDescent="0.25">
      <c r="A427" t="str">
        <f>IF(B426="","",_xlfn.XLOOKUP(B427,'Raw'!C:C,'Raw'!B:B))</f>
        <v/>
      </c>
      <c r="C427" t="str">
        <f>IF(B427="","",VLOOKUP(B427,RAW[[Hotel Code]:[Hotel / Resort Name ]],2,0))</f>
        <v/>
      </c>
    </row>
    <row r="428" spans="1:3" x14ac:dyDescent="0.25">
      <c r="A428" t="str">
        <f>IF(B427="","",_xlfn.XLOOKUP(B428,'Raw'!C:C,'Raw'!B:B))</f>
        <v/>
      </c>
      <c r="C428" t="str">
        <f>IF(B428="","",VLOOKUP(B428,RAW[[Hotel Code]:[Hotel / Resort Name ]],2,0))</f>
        <v/>
      </c>
    </row>
    <row r="429" spans="1:3" x14ac:dyDescent="0.25">
      <c r="A429" t="str">
        <f>IF(B428="","",_xlfn.XLOOKUP(B429,'Raw'!C:C,'Raw'!B:B))</f>
        <v/>
      </c>
      <c r="C429" t="str">
        <f>IF(B429="","",VLOOKUP(B429,RAW[[Hotel Code]:[Hotel / Resort Name ]],2,0))</f>
        <v/>
      </c>
    </row>
    <row r="430" spans="1:3" x14ac:dyDescent="0.25">
      <c r="A430" t="str">
        <f>IF(B429="","",_xlfn.XLOOKUP(B430,'Raw'!C:C,'Raw'!B:B))</f>
        <v/>
      </c>
      <c r="C430" t="str">
        <f>IF(B430="","",VLOOKUP(B430,RAW[[Hotel Code]:[Hotel / Resort Name ]],2,0))</f>
        <v/>
      </c>
    </row>
    <row r="431" spans="1:3" x14ac:dyDescent="0.25">
      <c r="A431" t="str">
        <f>IF(B430="","",_xlfn.XLOOKUP(B431,'Raw'!C:C,'Raw'!B:B))</f>
        <v/>
      </c>
      <c r="C431" t="str">
        <f>IF(B431="","",VLOOKUP(B431,RAW[[Hotel Code]:[Hotel / Resort Name ]],2,0))</f>
        <v/>
      </c>
    </row>
    <row r="432" spans="1:3" x14ac:dyDescent="0.25">
      <c r="A432" t="str">
        <f>IF(B431="","",_xlfn.XLOOKUP(B432,'Raw'!C:C,'Raw'!B:B))</f>
        <v/>
      </c>
      <c r="C432" t="str">
        <f>IF(B432="","",VLOOKUP(B432,RAW[[Hotel Code]:[Hotel / Resort Name ]],2,0))</f>
        <v/>
      </c>
    </row>
    <row r="433" spans="1:3" x14ac:dyDescent="0.25">
      <c r="A433" t="str">
        <f>IF(B432="","",_xlfn.XLOOKUP(B433,'Raw'!C:C,'Raw'!B:B))</f>
        <v/>
      </c>
      <c r="C433" t="str">
        <f>IF(B433="","",VLOOKUP(B433,RAW[[Hotel Code]:[Hotel / Resort Name ]],2,0))</f>
        <v/>
      </c>
    </row>
    <row r="434" spans="1:3" x14ac:dyDescent="0.25">
      <c r="A434" t="str">
        <f>IF(B433="","",_xlfn.XLOOKUP(B434,'Raw'!C:C,'Raw'!B:B))</f>
        <v/>
      </c>
      <c r="C434" t="str">
        <f>IF(B434="","",VLOOKUP(B434,RAW[[Hotel Code]:[Hotel / Resort Name ]],2,0))</f>
        <v/>
      </c>
    </row>
    <row r="435" spans="1:3" x14ac:dyDescent="0.25">
      <c r="A435" t="str">
        <f>IF(B434="","",_xlfn.XLOOKUP(B435,'Raw'!C:C,'Raw'!B:B))</f>
        <v/>
      </c>
      <c r="C435" t="str">
        <f>IF(B435="","",VLOOKUP(B435,RAW[[Hotel Code]:[Hotel / Resort Name ]],2,0))</f>
        <v/>
      </c>
    </row>
    <row r="436" spans="1:3" x14ac:dyDescent="0.25">
      <c r="A436" t="str">
        <f>IF(B435="","",_xlfn.XLOOKUP(B436,'Raw'!C:C,'Raw'!B:B))</f>
        <v/>
      </c>
      <c r="C436" t="str">
        <f>IF(B436="","",VLOOKUP(B436,RAW[[Hotel Code]:[Hotel / Resort Name ]],2,0))</f>
        <v/>
      </c>
    </row>
    <row r="437" spans="1:3" x14ac:dyDescent="0.25">
      <c r="A437" t="str">
        <f>IF(B436="","",_xlfn.XLOOKUP(B437,'Raw'!C:C,'Raw'!B:B))</f>
        <v/>
      </c>
      <c r="C437" t="str">
        <f>IF(B437="","",VLOOKUP(B437,RAW[[Hotel Code]:[Hotel / Resort Name ]],2,0))</f>
        <v/>
      </c>
    </row>
    <row r="438" spans="1:3" x14ac:dyDescent="0.25">
      <c r="A438" t="str">
        <f>IF(B437="","",_xlfn.XLOOKUP(B438,'Raw'!C:C,'Raw'!B:B))</f>
        <v/>
      </c>
      <c r="C438" t="str">
        <f>IF(B438="","",VLOOKUP(B438,RAW[[Hotel Code]:[Hotel / Resort Name ]],2,0))</f>
        <v/>
      </c>
    </row>
    <row r="439" spans="1:3" x14ac:dyDescent="0.25">
      <c r="A439" t="str">
        <f>IF(B438="","",_xlfn.XLOOKUP(B439,'Raw'!C:C,'Raw'!B:B))</f>
        <v/>
      </c>
      <c r="C439" t="str">
        <f>IF(B439="","",VLOOKUP(B439,RAW[[Hotel Code]:[Hotel / Resort Name ]],2,0))</f>
        <v/>
      </c>
    </row>
    <row r="440" spans="1:3" x14ac:dyDescent="0.25">
      <c r="A440" t="str">
        <f>IF(B439="","",_xlfn.XLOOKUP(B440,'Raw'!C:C,'Raw'!B:B))</f>
        <v/>
      </c>
      <c r="C440" t="str">
        <f>IF(B440="","",VLOOKUP(B440,RAW[[Hotel Code]:[Hotel / Resort Name ]],2,0))</f>
        <v/>
      </c>
    </row>
    <row r="441" spans="1:3" x14ac:dyDescent="0.25">
      <c r="A441" t="str">
        <f>IF(B440="","",_xlfn.XLOOKUP(B441,'Raw'!C:C,'Raw'!B:B))</f>
        <v/>
      </c>
      <c r="C441" t="str">
        <f>IF(B441="","",VLOOKUP(B441,RAW[[Hotel Code]:[Hotel / Resort Name ]],2,0))</f>
        <v/>
      </c>
    </row>
    <row r="442" spans="1:3" x14ac:dyDescent="0.25">
      <c r="A442" t="str">
        <f>IF(B441="","",_xlfn.XLOOKUP(B442,'Raw'!C:C,'Raw'!B:B))</f>
        <v/>
      </c>
      <c r="C442" t="str">
        <f>IF(B442="","",VLOOKUP(B442,RAW[[Hotel Code]:[Hotel / Resort Name ]],2,0))</f>
        <v/>
      </c>
    </row>
    <row r="443" spans="1:3" x14ac:dyDescent="0.25">
      <c r="A443" t="str">
        <f>IF(B442="","",_xlfn.XLOOKUP(B443,'Raw'!C:C,'Raw'!B:B))</f>
        <v/>
      </c>
      <c r="C443" t="str">
        <f>IF(B443="","",VLOOKUP(B443,RAW[[Hotel Code]:[Hotel / Resort Name ]],2,0))</f>
        <v/>
      </c>
    </row>
    <row r="444" spans="1:3" x14ac:dyDescent="0.25">
      <c r="A444" t="str">
        <f>IF(B443="","",_xlfn.XLOOKUP(B444,'Raw'!C:C,'Raw'!B:B))</f>
        <v/>
      </c>
      <c r="C444" t="str">
        <f>IF(B444="","",VLOOKUP(B444,RAW[[Hotel Code]:[Hotel / Resort Name ]],2,0))</f>
        <v/>
      </c>
    </row>
    <row r="445" spans="1:3" x14ac:dyDescent="0.25">
      <c r="A445" t="str">
        <f>IF(B444="","",_xlfn.XLOOKUP(B445,'Raw'!C:C,'Raw'!B:B))</f>
        <v/>
      </c>
      <c r="C445" t="str">
        <f>IF(B445="","",VLOOKUP(B445,RAW[[Hotel Code]:[Hotel / Resort Name ]],2,0))</f>
        <v/>
      </c>
    </row>
    <row r="446" spans="1:3" x14ac:dyDescent="0.25">
      <c r="A446" t="str">
        <f>IF(B445="","",_xlfn.XLOOKUP(B446,'Raw'!C:C,'Raw'!B:B))</f>
        <v/>
      </c>
      <c r="C446" t="str">
        <f>IF(B446="","",VLOOKUP(B446,RAW[[Hotel Code]:[Hotel / Resort Name ]],2,0))</f>
        <v/>
      </c>
    </row>
    <row r="447" spans="1:3" x14ac:dyDescent="0.25">
      <c r="A447" t="str">
        <f>IF(B446="","",_xlfn.XLOOKUP(B447,'Raw'!C:C,'Raw'!B:B))</f>
        <v/>
      </c>
      <c r="C447" t="str">
        <f>IF(B447="","",VLOOKUP(B447,RAW[[Hotel Code]:[Hotel / Resort Name ]],2,0))</f>
        <v/>
      </c>
    </row>
    <row r="448" spans="1:3" x14ac:dyDescent="0.25">
      <c r="A448" t="str">
        <f>IF(B447="","",_xlfn.XLOOKUP(B448,'Raw'!C:C,'Raw'!B:B))</f>
        <v/>
      </c>
      <c r="C448" t="str">
        <f>IF(B448="","",VLOOKUP(B448,RAW[[Hotel Code]:[Hotel / Resort Name ]],2,0))</f>
        <v/>
      </c>
    </row>
    <row r="449" spans="1:3" x14ac:dyDescent="0.25">
      <c r="A449" t="str">
        <f>IF(B448="","",_xlfn.XLOOKUP(B449,'Raw'!C:C,'Raw'!B:B))</f>
        <v/>
      </c>
      <c r="C449" t="str">
        <f>IF(B449="","",VLOOKUP(B449,RAW[[Hotel Code]:[Hotel / Resort Name ]],2,0))</f>
        <v/>
      </c>
    </row>
    <row r="450" spans="1:3" x14ac:dyDescent="0.25">
      <c r="A450" t="str">
        <f>IF(B449="","",_xlfn.XLOOKUP(B450,'Raw'!C:C,'Raw'!B:B))</f>
        <v/>
      </c>
      <c r="C450" t="str">
        <f>IF(B450="","",VLOOKUP(B450,RAW[[Hotel Code]:[Hotel / Resort Name ]],2,0))</f>
        <v/>
      </c>
    </row>
    <row r="451" spans="1:3" x14ac:dyDescent="0.25">
      <c r="A451" t="str">
        <f>IF(B450="","",_xlfn.XLOOKUP(B451,'Raw'!C:C,'Raw'!B:B))</f>
        <v/>
      </c>
      <c r="C451" t="str">
        <f>IF(B451="","",VLOOKUP(B451,RAW[[Hotel Code]:[Hotel / Resort Name ]],2,0))</f>
        <v/>
      </c>
    </row>
    <row r="452" spans="1:3" x14ac:dyDescent="0.25">
      <c r="A452" t="str">
        <f>IF(B451="","",_xlfn.XLOOKUP(B452,'Raw'!C:C,'Raw'!B:B))</f>
        <v/>
      </c>
      <c r="C452" t="str">
        <f>IF(B452="","",VLOOKUP(B452,RAW[[Hotel Code]:[Hotel / Resort Name ]],2,0))</f>
        <v/>
      </c>
    </row>
    <row r="453" spans="1:3" x14ac:dyDescent="0.25">
      <c r="A453" t="str">
        <f>IF(B452="","",_xlfn.XLOOKUP(B453,'Raw'!C:C,'Raw'!B:B))</f>
        <v/>
      </c>
      <c r="C453" t="str">
        <f>IF(B453="","",VLOOKUP(B453,RAW[[Hotel Code]:[Hotel / Resort Name ]],2,0))</f>
        <v/>
      </c>
    </row>
    <row r="454" spans="1:3" x14ac:dyDescent="0.25">
      <c r="A454" t="str">
        <f>IF(B453="","",_xlfn.XLOOKUP(B454,'Raw'!C:C,'Raw'!B:B))</f>
        <v/>
      </c>
      <c r="C454" t="str">
        <f>IF(B454="","",VLOOKUP(B454,RAW[[Hotel Code]:[Hotel / Resort Name ]],2,0))</f>
        <v/>
      </c>
    </row>
    <row r="455" spans="1:3" x14ac:dyDescent="0.25">
      <c r="A455" t="str">
        <f>IF(B454="","",_xlfn.XLOOKUP(B455,'Raw'!C:C,'Raw'!B:B))</f>
        <v/>
      </c>
      <c r="C455" t="str">
        <f>IF(B455="","",VLOOKUP(B455,RAW[[Hotel Code]:[Hotel / Resort Name ]],2,0))</f>
        <v/>
      </c>
    </row>
    <row r="456" spans="1:3" x14ac:dyDescent="0.25">
      <c r="A456" t="str">
        <f>IF(B455="","",_xlfn.XLOOKUP(B456,'Raw'!C:C,'Raw'!B:B))</f>
        <v/>
      </c>
      <c r="C456" t="str">
        <f>IF(B456="","",VLOOKUP(B456,RAW[[Hotel Code]:[Hotel / Resort Name ]],2,0))</f>
        <v/>
      </c>
    </row>
    <row r="457" spans="1:3" x14ac:dyDescent="0.25">
      <c r="A457" t="str">
        <f>IF(B456="","",_xlfn.XLOOKUP(B457,'Raw'!C:C,'Raw'!B:B))</f>
        <v/>
      </c>
      <c r="C457" t="str">
        <f>IF(B457="","",VLOOKUP(B457,RAW[[Hotel Code]:[Hotel / Resort Name ]],2,0))</f>
        <v/>
      </c>
    </row>
    <row r="458" spans="1:3" x14ac:dyDescent="0.25">
      <c r="A458" t="str">
        <f>IF(B457="","",_xlfn.XLOOKUP(B458,'Raw'!C:C,'Raw'!B:B))</f>
        <v/>
      </c>
      <c r="C458" t="str">
        <f>IF(B458="","",VLOOKUP(B458,RAW[[Hotel Code]:[Hotel / Resort Name ]],2,0))</f>
        <v/>
      </c>
    </row>
    <row r="459" spans="1:3" x14ac:dyDescent="0.25">
      <c r="A459" t="str">
        <f>IF(B458="","",_xlfn.XLOOKUP(B459,'Raw'!C:C,'Raw'!B:B))</f>
        <v/>
      </c>
      <c r="C459" t="str">
        <f>IF(B459="","",VLOOKUP(B459,RAW[[Hotel Code]:[Hotel / Resort Name ]],2,0))</f>
        <v/>
      </c>
    </row>
    <row r="460" spans="1:3" x14ac:dyDescent="0.25">
      <c r="A460" t="str">
        <f>IF(B459="","",_xlfn.XLOOKUP(B460,'Raw'!C:C,'Raw'!B:B))</f>
        <v/>
      </c>
      <c r="C460" t="str">
        <f>IF(B460="","",VLOOKUP(B460,RAW[[Hotel Code]:[Hotel / Resort Name ]],2,0))</f>
        <v/>
      </c>
    </row>
    <row r="461" spans="1:3" x14ac:dyDescent="0.25">
      <c r="A461" t="str">
        <f>IF(B460="","",_xlfn.XLOOKUP(B461,'Raw'!C:C,'Raw'!B:B))</f>
        <v/>
      </c>
      <c r="C461" t="str">
        <f>IF(B461="","",VLOOKUP(B461,RAW[[Hotel Code]:[Hotel / Resort Name ]],2,0))</f>
        <v/>
      </c>
    </row>
    <row r="462" spans="1:3" x14ac:dyDescent="0.25">
      <c r="A462" t="str">
        <f>IF(B461="","",_xlfn.XLOOKUP(B462,'Raw'!C:C,'Raw'!B:B))</f>
        <v/>
      </c>
      <c r="C462" t="str">
        <f>IF(B462="","",VLOOKUP(B462,RAW[[Hotel Code]:[Hotel / Resort Name ]],2,0))</f>
        <v/>
      </c>
    </row>
    <row r="463" spans="1:3" x14ac:dyDescent="0.25">
      <c r="A463" t="str">
        <f>IF(B462="","",_xlfn.XLOOKUP(B463,'Raw'!C:C,'Raw'!B:B))</f>
        <v/>
      </c>
      <c r="C463" t="str">
        <f>IF(B463="","",VLOOKUP(B463,RAW[[Hotel Code]:[Hotel / Resort Name ]],2,0))</f>
        <v/>
      </c>
    </row>
    <row r="464" spans="1:3" x14ac:dyDescent="0.25">
      <c r="A464" t="str">
        <f>IF(B463="","",_xlfn.XLOOKUP(B464,'Raw'!C:C,'Raw'!B:B))</f>
        <v/>
      </c>
      <c r="C464" t="str">
        <f>IF(B464="","",VLOOKUP(B464,RAW[[Hotel Code]:[Hotel / Resort Name ]],2,0))</f>
        <v/>
      </c>
    </row>
    <row r="465" spans="1:3" x14ac:dyDescent="0.25">
      <c r="A465" t="str">
        <f>IF(B464="","",_xlfn.XLOOKUP(B465,'Raw'!C:C,'Raw'!B:B))</f>
        <v/>
      </c>
      <c r="C465" t="str">
        <f>IF(B465="","",VLOOKUP(B465,RAW[[Hotel Code]:[Hotel / Resort Name ]],2,0))</f>
        <v/>
      </c>
    </row>
    <row r="466" spans="1:3" x14ac:dyDescent="0.25">
      <c r="A466" t="str">
        <f>IF(B465="","",_xlfn.XLOOKUP(B466,'Raw'!C:C,'Raw'!B:B))</f>
        <v/>
      </c>
      <c r="C466" t="str">
        <f>IF(B466="","",VLOOKUP(B466,RAW[[Hotel Code]:[Hotel / Resort Name ]],2,0))</f>
        <v/>
      </c>
    </row>
    <row r="467" spans="1:3" x14ac:dyDescent="0.25">
      <c r="A467" t="str">
        <f>IF(B466="","",_xlfn.XLOOKUP(B467,'Raw'!C:C,'Raw'!B:B))</f>
        <v/>
      </c>
      <c r="C467" t="str">
        <f>IF(B467="","",VLOOKUP(B467,RAW[[Hotel Code]:[Hotel / Resort Name ]],2,0))</f>
        <v/>
      </c>
    </row>
    <row r="468" spans="1:3" x14ac:dyDescent="0.25">
      <c r="A468" t="str">
        <f>IF(B467="","",_xlfn.XLOOKUP(B468,'Raw'!C:C,'Raw'!B:B))</f>
        <v/>
      </c>
      <c r="C468" t="str">
        <f>IF(B468="","",VLOOKUP(B468,RAW[[Hotel Code]:[Hotel / Resort Name ]],2,0))</f>
        <v/>
      </c>
    </row>
    <row r="469" spans="1:3" x14ac:dyDescent="0.25">
      <c r="A469" t="str">
        <f>IF(B468="","",_xlfn.XLOOKUP(B469,'Raw'!C:C,'Raw'!B:B))</f>
        <v/>
      </c>
      <c r="C469" t="str">
        <f>IF(B469="","",VLOOKUP(B469,RAW[[Hotel Code]:[Hotel / Resort Name ]],2,0))</f>
        <v/>
      </c>
    </row>
    <row r="470" spans="1:3" x14ac:dyDescent="0.25">
      <c r="A470" t="str">
        <f>IF(B469="","",_xlfn.XLOOKUP(B470,'Raw'!C:C,'Raw'!B:B))</f>
        <v/>
      </c>
      <c r="C470" t="str">
        <f>IF(B470="","",VLOOKUP(B470,RAW[[Hotel Code]:[Hotel / Resort Name ]],2,0))</f>
        <v/>
      </c>
    </row>
    <row r="471" spans="1:3" x14ac:dyDescent="0.25">
      <c r="A471" t="str">
        <f>IF(B470="","",_xlfn.XLOOKUP(B471,'Raw'!C:C,'Raw'!B:B))</f>
        <v/>
      </c>
      <c r="C471" t="str">
        <f>IF(B471="","",VLOOKUP(B471,RAW[[Hotel Code]:[Hotel / Resort Name ]],2,0))</f>
        <v/>
      </c>
    </row>
    <row r="472" spans="1:3" x14ac:dyDescent="0.25">
      <c r="A472" t="str">
        <f>IF(B471="","",_xlfn.XLOOKUP(B472,'Raw'!C:C,'Raw'!B:B))</f>
        <v/>
      </c>
      <c r="C472" t="str">
        <f>IF(B472="","",VLOOKUP(B472,RAW[[Hotel Code]:[Hotel / Resort Name ]],2,0))</f>
        <v/>
      </c>
    </row>
    <row r="473" spans="1:3" x14ac:dyDescent="0.25">
      <c r="A473" t="str">
        <f>IF(B472="","",_xlfn.XLOOKUP(B473,'Raw'!C:C,'Raw'!B:B))</f>
        <v/>
      </c>
      <c r="C473" t="str">
        <f>IF(B473="","",VLOOKUP(B473,RAW[[Hotel Code]:[Hotel / Resort Name ]],2,0))</f>
        <v/>
      </c>
    </row>
    <row r="474" spans="1:3" x14ac:dyDescent="0.25">
      <c r="A474" t="str">
        <f>IF(B473="","",_xlfn.XLOOKUP(B474,'Raw'!C:C,'Raw'!B:B))</f>
        <v/>
      </c>
      <c r="C474" t="str">
        <f>IF(B474="","",VLOOKUP(B474,RAW[[Hotel Code]:[Hotel / Resort Name ]],2,0))</f>
        <v/>
      </c>
    </row>
    <row r="475" spans="1:3" x14ac:dyDescent="0.25">
      <c r="A475" t="str">
        <f>IF(B474="","",_xlfn.XLOOKUP(B475,'Raw'!C:C,'Raw'!B:B))</f>
        <v/>
      </c>
      <c r="C475" t="str">
        <f>IF(B475="","",VLOOKUP(B475,RAW[[Hotel Code]:[Hotel / Resort Name ]],2,0))</f>
        <v/>
      </c>
    </row>
    <row r="476" spans="1:3" x14ac:dyDescent="0.25">
      <c r="A476" t="str">
        <f>IF(B475="","",_xlfn.XLOOKUP(B476,'Raw'!C:C,'Raw'!B:B))</f>
        <v/>
      </c>
      <c r="C476" t="str">
        <f>IF(B476="","",VLOOKUP(B476,RAW[[Hotel Code]:[Hotel / Resort Name ]],2,0))</f>
        <v/>
      </c>
    </row>
    <row r="477" spans="1:3" x14ac:dyDescent="0.25">
      <c r="A477" t="str">
        <f>IF(B476="","",_xlfn.XLOOKUP(B477,'Raw'!C:C,'Raw'!B:B))</f>
        <v/>
      </c>
      <c r="C477" t="str">
        <f>IF(B477="","",VLOOKUP(B477,RAW[[Hotel Code]:[Hotel / Resort Name ]],2,0))</f>
        <v/>
      </c>
    </row>
    <row r="478" spans="1:3" x14ac:dyDescent="0.25">
      <c r="A478" t="str">
        <f>IF(B477="","",_xlfn.XLOOKUP(B478,'Raw'!C:C,'Raw'!B:B))</f>
        <v/>
      </c>
      <c r="C478" t="str">
        <f>IF(B478="","",VLOOKUP(B478,RAW[[Hotel Code]:[Hotel / Resort Name ]],2,0))</f>
        <v/>
      </c>
    </row>
    <row r="479" spans="1:3" x14ac:dyDescent="0.25">
      <c r="A479" t="str">
        <f>IF(B478="","",_xlfn.XLOOKUP(B479,'Raw'!C:C,'Raw'!B:B))</f>
        <v/>
      </c>
      <c r="C479" t="str">
        <f>IF(B479="","",VLOOKUP(B479,RAW[[Hotel Code]:[Hotel / Resort Name ]],2,0))</f>
        <v/>
      </c>
    </row>
    <row r="480" spans="1:3" x14ac:dyDescent="0.25">
      <c r="A480" t="str">
        <f>IF(B479="","",_xlfn.XLOOKUP(B480,'Raw'!C:C,'Raw'!B:B))</f>
        <v/>
      </c>
      <c r="C480" t="str">
        <f>IF(B480="","",VLOOKUP(B480,RAW[[Hotel Code]:[Hotel / Resort Name ]],2,0))</f>
        <v/>
      </c>
    </row>
    <row r="481" spans="1:3" x14ac:dyDescent="0.25">
      <c r="A481" t="str">
        <f>IF(B480="","",_xlfn.XLOOKUP(B481,'Raw'!C:C,'Raw'!B:B))</f>
        <v/>
      </c>
      <c r="C481" t="str">
        <f>IF(B481="","",VLOOKUP(B481,RAW[[Hotel Code]:[Hotel / Resort Name ]],2,0))</f>
        <v/>
      </c>
    </row>
    <row r="482" spans="1:3" x14ac:dyDescent="0.25">
      <c r="A482" t="str">
        <f>IF(B481="","",_xlfn.XLOOKUP(B482,'Raw'!C:C,'Raw'!B:B))</f>
        <v/>
      </c>
      <c r="C482" t="str">
        <f>IF(B482="","",VLOOKUP(B482,RAW[[Hotel Code]:[Hotel / Resort Name ]],2,0))</f>
        <v/>
      </c>
    </row>
    <row r="483" spans="1:3" x14ac:dyDescent="0.25">
      <c r="A483" t="str">
        <f>IF(B482="","",_xlfn.XLOOKUP(B483,'Raw'!C:C,'Raw'!B:B))</f>
        <v/>
      </c>
      <c r="C483" t="str">
        <f>IF(B483="","",VLOOKUP(B483,RAW[[Hotel Code]:[Hotel / Resort Name ]],2,0))</f>
        <v/>
      </c>
    </row>
    <row r="484" spans="1:3" x14ac:dyDescent="0.25">
      <c r="A484" t="str">
        <f>IF(B483="","",_xlfn.XLOOKUP(B484,'Raw'!C:C,'Raw'!B:B))</f>
        <v/>
      </c>
      <c r="C484" t="str">
        <f>IF(B484="","",VLOOKUP(B484,RAW[[Hotel Code]:[Hotel / Resort Name ]],2,0))</f>
        <v/>
      </c>
    </row>
    <row r="485" spans="1:3" x14ac:dyDescent="0.25">
      <c r="A485" t="str">
        <f>IF(B484="","",_xlfn.XLOOKUP(B485,'Raw'!C:C,'Raw'!B:B))</f>
        <v/>
      </c>
      <c r="C485" t="str">
        <f>IF(B485="","",VLOOKUP(B485,RAW[[Hotel Code]:[Hotel / Resort Name ]],2,0))</f>
        <v/>
      </c>
    </row>
    <row r="486" spans="1:3" x14ac:dyDescent="0.25">
      <c r="A486" t="str">
        <f>IF(B485="","",_xlfn.XLOOKUP(B486,'Raw'!C:C,'Raw'!B:B))</f>
        <v/>
      </c>
      <c r="C486" t="str">
        <f>IF(B486="","",VLOOKUP(B486,RAW[[Hotel Code]:[Hotel / Resort Name ]],2,0))</f>
        <v/>
      </c>
    </row>
    <row r="487" spans="1:3" x14ac:dyDescent="0.25">
      <c r="A487" t="str">
        <f>IF(B486="","",_xlfn.XLOOKUP(B487,'Raw'!C:C,'Raw'!B:B))</f>
        <v/>
      </c>
      <c r="C487" t="str">
        <f>IF(B487="","",VLOOKUP(B487,RAW[[Hotel Code]:[Hotel / Resort Name ]],2,0))</f>
        <v/>
      </c>
    </row>
    <row r="488" spans="1:3" x14ac:dyDescent="0.25">
      <c r="A488" t="str">
        <f>IF(B487="","",_xlfn.XLOOKUP(B488,'Raw'!C:C,'Raw'!B:B))</f>
        <v/>
      </c>
      <c r="C488" t="str">
        <f>IF(B488="","",VLOOKUP(B488,RAW[[Hotel Code]:[Hotel / Resort Name ]],2,0))</f>
        <v/>
      </c>
    </row>
    <row r="489" spans="1:3" x14ac:dyDescent="0.25">
      <c r="A489" t="str">
        <f>IF(B488="","",_xlfn.XLOOKUP(B489,'Raw'!C:C,'Raw'!B:B))</f>
        <v/>
      </c>
      <c r="C489" t="str">
        <f>IF(B489="","",VLOOKUP(B489,RAW[[Hotel Code]:[Hotel / Resort Name ]],2,0))</f>
        <v/>
      </c>
    </row>
    <row r="490" spans="1:3" x14ac:dyDescent="0.25">
      <c r="A490" t="str">
        <f>IF(B489="","",_xlfn.XLOOKUP(B490,'Raw'!C:C,'Raw'!B:B))</f>
        <v/>
      </c>
      <c r="C490" t="str">
        <f>IF(B490="","",VLOOKUP(B490,RAW[[Hotel Code]:[Hotel / Resort Name ]],2,0))</f>
        <v/>
      </c>
    </row>
    <row r="491" spans="1:3" x14ac:dyDescent="0.25">
      <c r="A491" t="str">
        <f>IF(B490="","",_xlfn.XLOOKUP(B491,'Raw'!C:C,'Raw'!B:B))</f>
        <v/>
      </c>
      <c r="C491" t="str">
        <f>IF(B491="","",VLOOKUP(B491,RAW[[Hotel Code]:[Hotel / Resort Name ]],2,0))</f>
        <v/>
      </c>
    </row>
    <row r="492" spans="1:3" x14ac:dyDescent="0.25">
      <c r="A492" t="str">
        <f>IF(B491="","",_xlfn.XLOOKUP(B492,'Raw'!C:C,'Raw'!B:B))</f>
        <v/>
      </c>
      <c r="C492" t="str">
        <f>IF(B492="","",VLOOKUP(B492,RAW[[Hotel Code]:[Hotel / Resort Name ]],2,0))</f>
        <v/>
      </c>
    </row>
    <row r="493" spans="1:3" x14ac:dyDescent="0.25">
      <c r="A493" t="str">
        <f>IF(B492="","",_xlfn.XLOOKUP(B493,'Raw'!C:C,'Raw'!B:B))</f>
        <v/>
      </c>
      <c r="C493" t="str">
        <f>IF(B493="","",VLOOKUP(B493,RAW[[Hotel Code]:[Hotel / Resort Name ]],2,0))</f>
        <v/>
      </c>
    </row>
    <row r="494" spans="1:3" x14ac:dyDescent="0.25">
      <c r="A494" t="str">
        <f>IF(B493="","",_xlfn.XLOOKUP(B494,'Raw'!C:C,'Raw'!B:B))</f>
        <v/>
      </c>
      <c r="C494" t="str">
        <f>IF(B494="","",VLOOKUP(B494,RAW[[Hotel Code]:[Hotel / Resort Name ]],2,0))</f>
        <v/>
      </c>
    </row>
    <row r="495" spans="1:3" x14ac:dyDescent="0.25">
      <c r="A495" t="str">
        <f>IF(B494="","",_xlfn.XLOOKUP(B495,'Raw'!C:C,'Raw'!B:B))</f>
        <v/>
      </c>
      <c r="C495" t="str">
        <f>IF(B495="","",VLOOKUP(B495,RAW[[Hotel Code]:[Hotel / Resort Name ]],2,0))</f>
        <v/>
      </c>
    </row>
    <row r="496" spans="1:3" x14ac:dyDescent="0.25">
      <c r="A496" t="str">
        <f>IF(B495="","",_xlfn.XLOOKUP(B496,'Raw'!C:C,'Raw'!B:B))</f>
        <v/>
      </c>
      <c r="C496" t="str">
        <f>IF(B496="","",VLOOKUP(B496,RAW[[Hotel Code]:[Hotel / Resort Name ]],2,0))</f>
        <v/>
      </c>
    </row>
    <row r="497" spans="1:3" x14ac:dyDescent="0.25">
      <c r="A497" t="str">
        <f>IF(B496="","",_xlfn.XLOOKUP(B497,'Raw'!C:C,'Raw'!B:B))</f>
        <v/>
      </c>
      <c r="C497" t="str">
        <f>IF(B497="","",VLOOKUP(B497,RAW[[Hotel Code]:[Hotel / Resort Name ]],2,0))</f>
        <v/>
      </c>
    </row>
    <row r="498" spans="1:3" x14ac:dyDescent="0.25">
      <c r="A498" t="str">
        <f>IF(B497="","",_xlfn.XLOOKUP(B498,'Raw'!C:C,'Raw'!B:B))</f>
        <v/>
      </c>
      <c r="C498" t="str">
        <f>IF(B498="","",VLOOKUP(B498,RAW[[Hotel Code]:[Hotel / Resort Name ]],2,0))</f>
        <v/>
      </c>
    </row>
    <row r="499" spans="1:3" x14ac:dyDescent="0.25">
      <c r="A499" t="str">
        <f>IF(B498="","",_xlfn.XLOOKUP(B499,'Raw'!C:C,'Raw'!B:B))</f>
        <v/>
      </c>
      <c r="C499" t="str">
        <f>IF(B499="","",VLOOKUP(B499,RAW[[Hotel Code]:[Hotel / Resort Name ]],2,0))</f>
        <v/>
      </c>
    </row>
    <row r="500" spans="1:3" x14ac:dyDescent="0.25">
      <c r="A500" t="str">
        <f>IF(B499="","",_xlfn.XLOOKUP(B500,'Raw'!C:C,'Raw'!B:B))</f>
        <v/>
      </c>
      <c r="C500" t="str">
        <f>IF(B500="","",VLOOKUP(B500,RAW[[Hotel Code]:[Hotel / Resort Name ]],2,0))</f>
        <v/>
      </c>
    </row>
    <row r="501" spans="1:3" x14ac:dyDescent="0.25">
      <c r="A501" t="str">
        <f>IF(B500="","",_xlfn.XLOOKUP(B501,'Raw'!C:C,'Raw'!B:B))</f>
        <v/>
      </c>
      <c r="C501" t="str">
        <f>IF(B501="","",VLOOKUP(B501,RAW[[Hotel Code]:[Hotel / Resort Name ]],2,0))</f>
        <v/>
      </c>
    </row>
    <row r="502" spans="1:3" x14ac:dyDescent="0.25">
      <c r="A502" t="str">
        <f>IF(B501="","",_xlfn.XLOOKUP(B502,'Raw'!C:C,'Raw'!B:B))</f>
        <v/>
      </c>
      <c r="C502" t="str">
        <f>IF(B502="","",VLOOKUP(B502,RAW[[Hotel Code]:[Hotel / Resort Name ]],2,0))</f>
        <v/>
      </c>
    </row>
    <row r="503" spans="1:3" x14ac:dyDescent="0.25">
      <c r="A503" t="str">
        <f>IF(B502="","",_xlfn.XLOOKUP(B503,'Raw'!C:C,'Raw'!B:B))</f>
        <v/>
      </c>
      <c r="C503" t="str">
        <f>IF(B503="","",VLOOKUP(B503,RAW[[Hotel Code]:[Hotel / Resort Name ]],2,0))</f>
        <v/>
      </c>
    </row>
    <row r="504" spans="1:3" x14ac:dyDescent="0.25">
      <c r="A504" t="str">
        <f>IF(B503="","",_xlfn.XLOOKUP(B504,'Raw'!C:C,'Raw'!B:B))</f>
        <v/>
      </c>
      <c r="C504" t="str">
        <f>IF(B504="","",VLOOKUP(B504,RAW[[Hotel Code]:[Hotel / Resort Name ]],2,0))</f>
        <v/>
      </c>
    </row>
    <row r="505" spans="1:3" x14ac:dyDescent="0.25">
      <c r="A505" t="str">
        <f>IF(B504="","",_xlfn.XLOOKUP(B505,'Raw'!C:C,'Raw'!B:B))</f>
        <v/>
      </c>
      <c r="C505" t="str">
        <f>IF(B505="","",VLOOKUP(B505,RAW[[Hotel Code]:[Hotel / Resort Name ]],2,0))</f>
        <v/>
      </c>
    </row>
    <row r="506" spans="1:3" x14ac:dyDescent="0.25">
      <c r="A506" t="str">
        <f>IF(B505="","",_xlfn.XLOOKUP(B506,'Raw'!C:C,'Raw'!B:B))</f>
        <v/>
      </c>
      <c r="C506" t="str">
        <f>IF(B506="","",VLOOKUP(B506,RAW[[Hotel Code]:[Hotel / Resort Name ]],2,0))</f>
        <v/>
      </c>
    </row>
    <row r="507" spans="1:3" x14ac:dyDescent="0.25">
      <c r="A507" t="str">
        <f>IF(B506="","",_xlfn.XLOOKUP(B507,'Raw'!C:C,'Raw'!B:B))</f>
        <v/>
      </c>
      <c r="C507" t="str">
        <f>IF(B507="","",VLOOKUP(B507,RAW[[Hotel Code]:[Hotel / Resort Name ]],2,0))</f>
        <v/>
      </c>
    </row>
    <row r="508" spans="1:3" x14ac:dyDescent="0.25">
      <c r="A508" t="str">
        <f>IF(B507="","",_xlfn.XLOOKUP(B508,'Raw'!C:C,'Raw'!B:B))</f>
        <v/>
      </c>
      <c r="C508" t="str">
        <f>IF(B508="","",VLOOKUP(B508,RAW[[Hotel Code]:[Hotel / Resort Name ]],2,0))</f>
        <v/>
      </c>
    </row>
    <row r="509" spans="1:3" x14ac:dyDescent="0.25">
      <c r="A509" t="str">
        <f>IF(B508="","",_xlfn.XLOOKUP(B509,'Raw'!C:C,'Raw'!B:B))</f>
        <v/>
      </c>
      <c r="C509" t="str">
        <f>IF(B509="","",VLOOKUP(B509,RAW[[Hotel Code]:[Hotel / Resort Name ]],2,0))</f>
        <v/>
      </c>
    </row>
    <row r="510" spans="1:3" x14ac:dyDescent="0.25">
      <c r="A510" t="str">
        <f>IF(B509="","",_xlfn.XLOOKUP(B510,'Raw'!C:C,'Raw'!B:B))</f>
        <v/>
      </c>
      <c r="C510" t="str">
        <f>IF(B510="","",VLOOKUP(B510,RAW[[Hotel Code]:[Hotel / Resort Name ]],2,0))</f>
        <v/>
      </c>
    </row>
    <row r="511" spans="1:3" x14ac:dyDescent="0.25">
      <c r="A511" t="str">
        <f>IF(B510="","",_xlfn.XLOOKUP(B511,'Raw'!C:C,'Raw'!B:B))</f>
        <v/>
      </c>
      <c r="C511" t="str">
        <f>IF(B511="","",VLOOKUP(B511,RAW[[Hotel Code]:[Hotel / Resort Name ]],2,0))</f>
        <v/>
      </c>
    </row>
    <row r="512" spans="1:3" x14ac:dyDescent="0.25">
      <c r="A512" t="str">
        <f>IF(B511="","",_xlfn.XLOOKUP(B512,'Raw'!C:C,'Raw'!B:B))</f>
        <v/>
      </c>
      <c r="C512" t="str">
        <f>IF(B512="","",VLOOKUP(B512,RAW[[Hotel Code]:[Hotel / Resort Name ]],2,0))</f>
        <v/>
      </c>
    </row>
    <row r="513" spans="1:3" x14ac:dyDescent="0.25">
      <c r="A513" t="str">
        <f>IF(B512="","",_xlfn.XLOOKUP(B513,'Raw'!C:C,'Raw'!B:B))</f>
        <v/>
      </c>
      <c r="C513" t="str">
        <f>IF(B513="","",VLOOKUP(B513,RAW[[Hotel Code]:[Hotel / Resort Name ]],2,0))</f>
        <v/>
      </c>
    </row>
    <row r="514" spans="1:3" x14ac:dyDescent="0.25">
      <c r="A514" t="str">
        <f>IF(B513="","",_xlfn.XLOOKUP(B514,'Raw'!C:C,'Raw'!B:B))</f>
        <v/>
      </c>
      <c r="C514" t="str">
        <f>IF(B514="","",VLOOKUP(B514,RAW[[Hotel Code]:[Hotel / Resort Name ]],2,0))</f>
        <v/>
      </c>
    </row>
    <row r="515" spans="1:3" x14ac:dyDescent="0.25">
      <c r="A515" t="str">
        <f>IF(B514="","",_xlfn.XLOOKUP(B515,'Raw'!C:C,'Raw'!B:B))</f>
        <v/>
      </c>
      <c r="C515" t="str">
        <f>IF(B515="","",VLOOKUP(B515,RAW[[Hotel Code]:[Hotel / Resort Name ]],2,0))</f>
        <v/>
      </c>
    </row>
    <row r="516" spans="1:3" x14ac:dyDescent="0.25">
      <c r="A516" t="str">
        <f>IF(B515="","",_xlfn.XLOOKUP(B516,'Raw'!C:C,'Raw'!B:B))</f>
        <v/>
      </c>
      <c r="C516" t="str">
        <f>IF(B516="","",VLOOKUP(B516,RAW[[Hotel Code]:[Hotel / Resort Name ]],2,0))</f>
        <v/>
      </c>
    </row>
    <row r="517" spans="1:3" x14ac:dyDescent="0.25">
      <c r="A517" t="str">
        <f>IF(B516="","",_xlfn.XLOOKUP(B517,'Raw'!C:C,'Raw'!B:B))</f>
        <v/>
      </c>
      <c r="C517" t="str">
        <f>IF(B517="","",VLOOKUP(B517,RAW[[Hotel Code]:[Hotel / Resort Name ]],2,0))</f>
        <v/>
      </c>
    </row>
    <row r="518" spans="1:3" x14ac:dyDescent="0.25">
      <c r="A518" t="str">
        <f>IF(B517="","",_xlfn.XLOOKUP(B518,'Raw'!C:C,'Raw'!B:B))</f>
        <v/>
      </c>
      <c r="C518" t="str">
        <f>IF(B518="","",VLOOKUP(B518,RAW[[Hotel Code]:[Hotel / Resort Name ]],2,0))</f>
        <v/>
      </c>
    </row>
    <row r="519" spans="1:3" x14ac:dyDescent="0.25">
      <c r="A519" t="str">
        <f>IF(B518="","",_xlfn.XLOOKUP(B519,'Raw'!C:C,'Raw'!B:B))</f>
        <v/>
      </c>
      <c r="C519" t="str">
        <f>IF(B519="","",VLOOKUP(B519,RAW[[Hotel Code]:[Hotel / Resort Name ]],2,0))</f>
        <v/>
      </c>
    </row>
    <row r="520" spans="1:3" x14ac:dyDescent="0.25">
      <c r="A520" t="str">
        <f>IF(B519="","",_xlfn.XLOOKUP(B520,'Raw'!C:C,'Raw'!B:B))</f>
        <v/>
      </c>
      <c r="C520" t="str">
        <f>IF(B520="","",VLOOKUP(B520,RAW[[Hotel Code]:[Hotel / Resort Name ]],2,0))</f>
        <v/>
      </c>
    </row>
    <row r="521" spans="1:3" x14ac:dyDescent="0.25">
      <c r="A521" t="str">
        <f>IF(B520="","",_xlfn.XLOOKUP(B521,'Raw'!C:C,'Raw'!B:B))</f>
        <v/>
      </c>
      <c r="C521" t="str">
        <f>IF(B521="","",VLOOKUP(B521,RAW[[Hotel Code]:[Hotel / Resort Name ]],2,0))</f>
        <v/>
      </c>
    </row>
    <row r="522" spans="1:3" x14ac:dyDescent="0.25">
      <c r="A522" t="str">
        <f>IF(B521="","",_xlfn.XLOOKUP(B522,'Raw'!C:C,'Raw'!B:B))</f>
        <v/>
      </c>
      <c r="C522" t="str">
        <f>IF(B522="","",VLOOKUP(B522,RAW[[Hotel Code]:[Hotel / Resort Name ]],2,0))</f>
        <v/>
      </c>
    </row>
    <row r="523" spans="1:3" x14ac:dyDescent="0.25">
      <c r="C523" t="str">
        <f>IF(B523="","",VLOOKUP(B523,RAW[[Hotel Code]:[Hotel / Resort Name ]],2,0))</f>
        <v/>
      </c>
    </row>
    <row r="524" spans="1:3" x14ac:dyDescent="0.25">
      <c r="C524" t="str">
        <f>IF(B524="","",VLOOKUP(B524,RAW[[Hotel Code]:[Hotel / Resort Name ]],2,0))</f>
        <v/>
      </c>
    </row>
    <row r="525" spans="1:3" x14ac:dyDescent="0.25">
      <c r="C525" t="str">
        <f>IF(B525="","",VLOOKUP(B525,RAW[[Hotel Code]:[Hotel / Resort Name ]],2,0))</f>
        <v/>
      </c>
    </row>
    <row r="526" spans="1:3" x14ac:dyDescent="0.25">
      <c r="C526" t="str">
        <f>IF(B526="","",VLOOKUP(B526,RAW[[Hotel Code]:[Hotel / Resort Name ]],2,0))</f>
        <v/>
      </c>
    </row>
    <row r="527" spans="1:3" x14ac:dyDescent="0.25">
      <c r="C527" t="str">
        <f>IF(B527="","",VLOOKUP(B527,RAW[[Hotel Code]:[Hotel / Resort Name ]],2,0))</f>
        <v/>
      </c>
    </row>
    <row r="528" spans="1:3" x14ac:dyDescent="0.25">
      <c r="C528" t="str">
        <f>IF(B528="","",VLOOKUP(B528,RAW[[Hotel Code]:[Hotel / Resort Name ]],2,0))</f>
        <v/>
      </c>
    </row>
    <row r="529" spans="3:3" x14ac:dyDescent="0.25">
      <c r="C529" t="str">
        <f>IF(B529="","",VLOOKUP(B529,RAW[[Hotel Code]:[Hotel / Resort Name ]],2,0))</f>
        <v/>
      </c>
    </row>
    <row r="530" spans="3:3" x14ac:dyDescent="0.25">
      <c r="C530" t="str">
        <f>IF(B530="","",VLOOKUP(B530,RAW[[Hotel Code]:[Hotel / Resort Name ]],2,0))</f>
        <v/>
      </c>
    </row>
    <row r="531" spans="3:3" x14ac:dyDescent="0.25">
      <c r="C531" t="str">
        <f>IF(B531="","",VLOOKUP(B531,RAW[[Hotel Code]:[Hotel / Resort Name ]],2,0))</f>
        <v/>
      </c>
    </row>
    <row r="532" spans="3:3" x14ac:dyDescent="0.25">
      <c r="C532" t="str">
        <f>IF(B532="","",VLOOKUP(B532,RAW[[Hotel Code]:[Hotel / Resort Name ]],2,0))</f>
        <v/>
      </c>
    </row>
    <row r="533" spans="3:3" x14ac:dyDescent="0.25">
      <c r="C533" t="str">
        <f>IF(B533="","",VLOOKUP(B533,RAW[[Hotel Code]:[Hotel / Resort Name ]],2,0))</f>
        <v/>
      </c>
    </row>
    <row r="534" spans="3:3" x14ac:dyDescent="0.25">
      <c r="C534" t="str">
        <f>IF(B534="","",VLOOKUP(B534,RAW[[Hotel Code]:[Hotel / Resort Name ]],2,0))</f>
        <v/>
      </c>
    </row>
    <row r="535" spans="3:3" x14ac:dyDescent="0.25">
      <c r="C535" t="str">
        <f>IF(B535="","",VLOOKUP(B535,RAW[[Hotel Code]:[Hotel / Resort Name ]],2,0))</f>
        <v/>
      </c>
    </row>
    <row r="536" spans="3:3" x14ac:dyDescent="0.25">
      <c r="C536" t="str">
        <f>IF(B536="","",VLOOKUP(B536,RAW[[Hotel Code]:[Hotel / Resort Name ]],2,0))</f>
        <v/>
      </c>
    </row>
    <row r="537" spans="3:3" x14ac:dyDescent="0.25">
      <c r="C537" t="str">
        <f>IF(B537="","",VLOOKUP(B537,RAW[[Hotel Code]:[Hotel / Resort Name ]],2,0))</f>
        <v/>
      </c>
    </row>
    <row r="538" spans="3:3" x14ac:dyDescent="0.25">
      <c r="C538" t="str">
        <f>IF(B538="","",VLOOKUP(B538,RAW[[Hotel Code]:[Hotel / Resort Name ]],2,0))</f>
        <v/>
      </c>
    </row>
    <row r="539" spans="3:3" x14ac:dyDescent="0.25">
      <c r="C539" t="str">
        <f>IF(B539="","",VLOOKUP(B539,RAW[[Hotel Code]:[Hotel / Resort Name ]],2,0))</f>
        <v/>
      </c>
    </row>
    <row r="540" spans="3:3" x14ac:dyDescent="0.25">
      <c r="C540" t="str">
        <f>IF(B540="","",VLOOKUP(B540,RAW[[Hotel Code]:[Hotel / Resort Name ]],2,0))</f>
        <v/>
      </c>
    </row>
    <row r="541" spans="3:3" x14ac:dyDescent="0.25">
      <c r="C541" t="str">
        <f>IF(B541="","",VLOOKUP(B541,RAW[[Hotel Code]:[Hotel / Resort Name ]],2,0))</f>
        <v/>
      </c>
    </row>
    <row r="542" spans="3:3" x14ac:dyDescent="0.25">
      <c r="C542" t="str">
        <f>IF(B542="","",VLOOKUP(B542,RAW[[Hotel Code]:[Hotel / Resort Name ]],2,0))</f>
        <v/>
      </c>
    </row>
    <row r="543" spans="3:3" x14ac:dyDescent="0.25">
      <c r="C543" t="str">
        <f>IF(B543="","",VLOOKUP(B543,RAW[[Hotel Code]:[Hotel / Resort Name ]],2,0))</f>
        <v/>
      </c>
    </row>
    <row r="544" spans="3:3" x14ac:dyDescent="0.25">
      <c r="C544" t="str">
        <f>IF(B544="","",VLOOKUP(B544,RAW[[Hotel Code]:[Hotel / Resort Name ]],2,0))</f>
        <v/>
      </c>
    </row>
    <row r="545" spans="3:3" x14ac:dyDescent="0.25">
      <c r="C545" t="str">
        <f>IF(B545="","",VLOOKUP(B545,RAW[[Hotel Code]:[Hotel / Resort Name ]],2,0))</f>
        <v/>
      </c>
    </row>
    <row r="546" spans="3:3" x14ac:dyDescent="0.25">
      <c r="C546" t="str">
        <f>IF(B546="","",VLOOKUP(B546,RAW[[Hotel Code]:[Hotel / Resort Name ]],2,0))</f>
        <v/>
      </c>
    </row>
    <row r="547" spans="3:3" x14ac:dyDescent="0.25">
      <c r="C547" t="str">
        <f>IF(B547="","",VLOOKUP(B547,RAW[[Hotel Code]:[Hotel / Resort Name ]],2,0))</f>
        <v/>
      </c>
    </row>
    <row r="548" spans="3:3" x14ac:dyDescent="0.25">
      <c r="C548" t="str">
        <f>IF(B548="","",VLOOKUP(B548,RAW[[Hotel Code]:[Hotel / Resort Name ]],2,0))</f>
        <v/>
      </c>
    </row>
    <row r="549" spans="3:3" x14ac:dyDescent="0.25">
      <c r="C549" t="str">
        <f>IF(B549="","",VLOOKUP(B549,RAW[[Hotel Code]:[Hotel / Resort Name ]],2,0))</f>
        <v/>
      </c>
    </row>
    <row r="550" spans="3:3" x14ac:dyDescent="0.25">
      <c r="C550" t="str">
        <f>IF(B550="","",VLOOKUP(B550,RAW[[Hotel Code]:[Hotel / Resort Name ]],2,0))</f>
        <v/>
      </c>
    </row>
    <row r="551" spans="3:3" x14ac:dyDescent="0.25">
      <c r="C551" t="str">
        <f>IF(B551="","",VLOOKUP(B551,RAW[[Hotel Code]:[Hotel / Resort Name ]],2,0))</f>
        <v/>
      </c>
    </row>
    <row r="552" spans="3:3" x14ac:dyDescent="0.25">
      <c r="C552" t="str">
        <f>IF(B552="","",VLOOKUP(B552,RAW[[Hotel Code]:[Hotel / Resort Name ]],2,0))</f>
        <v/>
      </c>
    </row>
    <row r="553" spans="3:3" x14ac:dyDescent="0.25">
      <c r="C553" t="str">
        <f>IF(B553="","",VLOOKUP(B553,RAW[[Hotel Code]:[Hotel / Resort Name ]],2,0))</f>
        <v/>
      </c>
    </row>
    <row r="554" spans="3:3" x14ac:dyDescent="0.25">
      <c r="C554" t="str">
        <f>IF(B554="","",VLOOKUP(B554,RAW[[Hotel Code]:[Hotel / Resort Name ]],2,0))</f>
        <v/>
      </c>
    </row>
    <row r="555" spans="3:3" x14ac:dyDescent="0.25">
      <c r="C555" t="str">
        <f>IF(B555="","",VLOOKUP(B555,RAW[[Hotel Code]:[Hotel / Resort Name ]],2,0))</f>
        <v/>
      </c>
    </row>
    <row r="556" spans="3:3" x14ac:dyDescent="0.25">
      <c r="C556" t="str">
        <f>IF(B556="","",VLOOKUP(B556,RAW[[Hotel Code]:[Hotel / Resort Name ]],2,0))</f>
        <v/>
      </c>
    </row>
    <row r="557" spans="3:3" x14ac:dyDescent="0.25">
      <c r="C557" t="str">
        <f>IF(B557="","",VLOOKUP(B557,RAW[[Hotel Code]:[Hotel / Resort Name ]],2,0))</f>
        <v/>
      </c>
    </row>
    <row r="558" spans="3:3" x14ac:dyDescent="0.25">
      <c r="C558" t="str">
        <f>IF(B558="","",VLOOKUP(B558,RAW[[Hotel Code]:[Hotel / Resort Name ]],2,0))</f>
        <v/>
      </c>
    </row>
    <row r="559" spans="3:3" x14ac:dyDescent="0.25">
      <c r="C559" t="str">
        <f>IF(B559="","",VLOOKUP(B559,RAW[[Hotel Code]:[Hotel / Resort Name ]],2,0))</f>
        <v/>
      </c>
    </row>
    <row r="560" spans="3:3" x14ac:dyDescent="0.25">
      <c r="C560" t="str">
        <f>IF(B560="","",VLOOKUP(B560,RAW[[Hotel Code]:[Hotel / Resort Name ]],2,0))</f>
        <v/>
      </c>
    </row>
    <row r="561" spans="3:3" x14ac:dyDescent="0.25">
      <c r="C561" t="str">
        <f>IF(B561="","",VLOOKUP(B561,RAW[[Hotel Code]:[Hotel / Resort Name ]],2,0))</f>
        <v/>
      </c>
    </row>
    <row r="562" spans="3:3" x14ac:dyDescent="0.25">
      <c r="C562" t="str">
        <f>IF(B562="","",VLOOKUP(B562,RAW[[Hotel Code]:[Hotel / Resort Name ]],2,0))</f>
        <v/>
      </c>
    </row>
    <row r="563" spans="3:3" x14ac:dyDescent="0.25">
      <c r="C563" t="str">
        <f>IF(B563="","",VLOOKUP(B563,RAW[[Hotel Code]:[Hotel / Resort Name ]],2,0))</f>
        <v/>
      </c>
    </row>
    <row r="564" spans="3:3" x14ac:dyDescent="0.25">
      <c r="C564" t="str">
        <f>IF(B564="","",VLOOKUP(B564,RAW[[Hotel Code]:[Hotel / Resort Name ]],2,0))</f>
        <v/>
      </c>
    </row>
    <row r="565" spans="3:3" x14ac:dyDescent="0.25">
      <c r="C565" t="str">
        <f>IF(B565="","",VLOOKUP(B565,RAW[[Hotel Code]:[Hotel / Resort Name ]],2,0))</f>
        <v/>
      </c>
    </row>
    <row r="566" spans="3:3" x14ac:dyDescent="0.25">
      <c r="C566" t="str">
        <f>IF(B566="","",VLOOKUP(B566,RAW[[Hotel Code]:[Hotel / Resort Name ]],2,0))</f>
        <v/>
      </c>
    </row>
    <row r="567" spans="3:3" x14ac:dyDescent="0.25">
      <c r="C567" t="str">
        <f>IF(B567="","",VLOOKUP(B567,RAW[[Hotel Code]:[Hotel / Resort Name ]],2,0))</f>
        <v/>
      </c>
    </row>
    <row r="568" spans="3:3" x14ac:dyDescent="0.25">
      <c r="C568" t="str">
        <f>IF(B568="","",VLOOKUP(B568,RAW[[Hotel Code]:[Hotel / Resort Name ]],2,0))</f>
        <v/>
      </c>
    </row>
    <row r="569" spans="3:3" x14ac:dyDescent="0.25">
      <c r="C569" t="str">
        <f>IF(B569="","",VLOOKUP(B569,RAW[[Hotel Code]:[Hotel / Resort Name ]],2,0))</f>
        <v/>
      </c>
    </row>
    <row r="570" spans="3:3" x14ac:dyDescent="0.25">
      <c r="C570" t="str">
        <f>IF(B570="","",VLOOKUP(B570,RAW[[Hotel Code]:[Hotel / Resort Name ]],2,0))</f>
        <v/>
      </c>
    </row>
    <row r="571" spans="3:3" x14ac:dyDescent="0.25">
      <c r="C571" t="str">
        <f>IF(B571="","",VLOOKUP(B571,RAW[[Hotel Code]:[Hotel / Resort Name ]],2,0))</f>
        <v/>
      </c>
    </row>
    <row r="572" spans="3:3" x14ac:dyDescent="0.25">
      <c r="C572" t="str">
        <f>IF(B572="","",VLOOKUP(B572,RAW[[Hotel Code]:[Hotel / Resort Name ]],2,0))</f>
        <v/>
      </c>
    </row>
    <row r="573" spans="3:3" x14ac:dyDescent="0.25">
      <c r="C573" t="str">
        <f>IF(B573="","",VLOOKUP(B573,RAW[[Hotel Code]:[Hotel / Resort Name ]],2,0))</f>
        <v/>
      </c>
    </row>
    <row r="574" spans="3:3" x14ac:dyDescent="0.25">
      <c r="C574" t="str">
        <f>IF(B574="","",VLOOKUP(B574,RAW[[Hotel Code]:[Hotel / Resort Name ]],2,0))</f>
        <v/>
      </c>
    </row>
    <row r="575" spans="3:3" x14ac:dyDescent="0.25">
      <c r="C575" t="str">
        <f>IF(B575="","",VLOOKUP(B575,RAW[[Hotel Code]:[Hotel / Resort Name ]],2,0))</f>
        <v/>
      </c>
    </row>
    <row r="576" spans="3:3" x14ac:dyDescent="0.25">
      <c r="C576" t="str">
        <f>IF(B576="","",VLOOKUP(B576,RAW[[Hotel Code]:[Hotel / Resort Name ]],2,0))</f>
        <v/>
      </c>
    </row>
    <row r="577" spans="3:3" x14ac:dyDescent="0.25">
      <c r="C577" t="str">
        <f>IF(B577="","",VLOOKUP(B577,RAW[[Hotel Code]:[Hotel / Resort Name ]],2,0))</f>
        <v/>
      </c>
    </row>
    <row r="578" spans="3:3" x14ac:dyDescent="0.25">
      <c r="C578" t="str">
        <f>IF(B578="","",VLOOKUP(B578,RAW[[Hotel Code]:[Hotel / Resort Name ]],2,0))</f>
        <v/>
      </c>
    </row>
    <row r="579" spans="3:3" x14ac:dyDescent="0.25">
      <c r="C579" t="str">
        <f>IF(B579="","",VLOOKUP(B579,RAW[[Hotel Code]:[Hotel / Resort Name ]],2,0))</f>
        <v/>
      </c>
    </row>
    <row r="580" spans="3:3" x14ac:dyDescent="0.25">
      <c r="C580" t="str">
        <f>IF(B580="","",VLOOKUP(B580,RAW[[Hotel Code]:[Hotel / Resort Name ]],2,0))</f>
        <v/>
      </c>
    </row>
    <row r="581" spans="3:3" x14ac:dyDescent="0.25">
      <c r="C581" t="str">
        <f>IF(B581="","",VLOOKUP(B581,RAW[[Hotel Code]:[Hotel / Resort Name ]],2,0))</f>
        <v/>
      </c>
    </row>
    <row r="582" spans="3:3" x14ac:dyDescent="0.25">
      <c r="C582" t="str">
        <f>IF(B582="","",VLOOKUP(B582,RAW[[Hotel Code]:[Hotel / Resort Name ]],2,0))</f>
        <v/>
      </c>
    </row>
    <row r="583" spans="3:3" x14ac:dyDescent="0.25">
      <c r="C583" t="str">
        <f>IF(B583="","",VLOOKUP(B583,RAW[[Hotel Code]:[Hotel / Resort Name ]],2,0))</f>
        <v/>
      </c>
    </row>
    <row r="584" spans="3:3" x14ac:dyDescent="0.25">
      <c r="C584" t="str">
        <f>IF(B584="","",VLOOKUP(B584,RAW[[Hotel Code]:[Hotel / Resort Name ]],2,0))</f>
        <v/>
      </c>
    </row>
    <row r="585" spans="3:3" x14ac:dyDescent="0.25">
      <c r="C585" t="str">
        <f>IF(B585="","",VLOOKUP(B585,RAW[[Hotel Code]:[Hotel / Resort Name ]],2,0))</f>
        <v/>
      </c>
    </row>
    <row r="586" spans="3:3" x14ac:dyDescent="0.25">
      <c r="C586" t="str">
        <f>IF(B586="","",VLOOKUP(B586,RAW[[Hotel Code]:[Hotel / Resort Name ]],2,0))</f>
        <v/>
      </c>
    </row>
    <row r="587" spans="3:3" x14ac:dyDescent="0.25">
      <c r="C587" t="str">
        <f>IF(B587="","",VLOOKUP(B587,RAW[[Hotel Code]:[Hotel / Resort Name ]],2,0))</f>
        <v/>
      </c>
    </row>
    <row r="588" spans="3:3" x14ac:dyDescent="0.25">
      <c r="C588" t="str">
        <f>IF(B588="","",VLOOKUP(B588,RAW[[Hotel Code]:[Hotel / Resort Name ]],2,0))</f>
        <v/>
      </c>
    </row>
    <row r="589" spans="3:3" x14ac:dyDescent="0.25">
      <c r="C589" t="str">
        <f>IF(B589="","",VLOOKUP(B589,RAW[[Hotel Code]:[Hotel / Resort Name ]],2,0))</f>
        <v/>
      </c>
    </row>
    <row r="590" spans="3:3" x14ac:dyDescent="0.25">
      <c r="C590" t="str">
        <f>IF(B590="","",VLOOKUP(B590,RAW[[Hotel Code]:[Hotel / Resort Name ]],2,0))</f>
        <v/>
      </c>
    </row>
    <row r="591" spans="3:3" x14ac:dyDescent="0.25">
      <c r="C591" t="str">
        <f>IF(B591="","",VLOOKUP(B591,RAW[[Hotel Code]:[Hotel / Resort Name ]],2,0))</f>
        <v/>
      </c>
    </row>
    <row r="592" spans="3:3" x14ac:dyDescent="0.25">
      <c r="C592" t="str">
        <f>IF(B592="","",VLOOKUP(B592,RAW[[Hotel Code]:[Hotel / Resort Name ]],2,0))</f>
        <v/>
      </c>
    </row>
    <row r="593" spans="3:3" x14ac:dyDescent="0.25">
      <c r="C593" t="str">
        <f>IF(B593="","",VLOOKUP(B593,RAW[[Hotel Code]:[Hotel / Resort Name ]],2,0))</f>
        <v/>
      </c>
    </row>
    <row r="594" spans="3:3" x14ac:dyDescent="0.25">
      <c r="C594" t="str">
        <f>IF(B594="","",VLOOKUP(B594,RAW[[Hotel Code]:[Hotel / Resort Name ]],2,0))</f>
        <v/>
      </c>
    </row>
    <row r="595" spans="3:3" x14ac:dyDescent="0.25">
      <c r="C595" t="str">
        <f>IF(B595="","",VLOOKUP(B595,RAW[[Hotel Code]:[Hotel / Resort Name ]],2,0))</f>
        <v/>
      </c>
    </row>
    <row r="596" spans="3:3" x14ac:dyDescent="0.25">
      <c r="C596" t="str">
        <f>IF(B596="","",VLOOKUP(B596,RAW[[Hotel Code]:[Hotel / Resort Name ]],2,0))</f>
        <v/>
      </c>
    </row>
    <row r="597" spans="3:3" x14ac:dyDescent="0.25">
      <c r="C597" t="str">
        <f>IF(B597="","",VLOOKUP(B597,RAW[[Hotel Code]:[Hotel / Resort Name ]],2,0))</f>
        <v/>
      </c>
    </row>
    <row r="598" spans="3:3" x14ac:dyDescent="0.25">
      <c r="C598" t="str">
        <f>IF(B598="","",VLOOKUP(B598,RAW[[Hotel Code]:[Hotel / Resort Name ]],2,0))</f>
        <v/>
      </c>
    </row>
    <row r="599" spans="3:3" x14ac:dyDescent="0.25">
      <c r="C599" t="str">
        <f>IF(B599="","",VLOOKUP(B599,RAW[[Hotel Code]:[Hotel / Resort Name ]],2,0))</f>
        <v/>
      </c>
    </row>
    <row r="600" spans="3:3" x14ac:dyDescent="0.25">
      <c r="C600" t="str">
        <f>IF(B600="","",VLOOKUP(B600,RAW[[Hotel Code]:[Hotel / Resort Name ]],2,0))</f>
        <v/>
      </c>
    </row>
    <row r="601" spans="3:3" x14ac:dyDescent="0.25">
      <c r="C601" t="str">
        <f>IF(B601="","",VLOOKUP(B601,RAW[[Hotel Code]:[Hotel / Resort Name ]],2,0))</f>
        <v/>
      </c>
    </row>
    <row r="602" spans="3:3" x14ac:dyDescent="0.25">
      <c r="C602" t="str">
        <f>IF(B602="","",VLOOKUP(B602,RAW[[Hotel Code]:[Hotel / Resort Name ]],2,0))</f>
        <v/>
      </c>
    </row>
    <row r="603" spans="3:3" x14ac:dyDescent="0.25">
      <c r="C603" t="str">
        <f>IF(B603="","",VLOOKUP(B603,RAW[[Hotel Code]:[Hotel / Resort Name ]],2,0))</f>
        <v/>
      </c>
    </row>
    <row r="604" spans="3:3" x14ac:dyDescent="0.25">
      <c r="C604" t="str">
        <f>IF(B604="","",VLOOKUP(B604,RAW[[Hotel Code]:[Hotel / Resort Name ]],2,0))</f>
        <v/>
      </c>
    </row>
    <row r="605" spans="3:3" x14ac:dyDescent="0.25">
      <c r="C605" t="str">
        <f>IF(B605="","",VLOOKUP(B605,RAW[[Hotel Code]:[Hotel / Resort Name ]],2,0))</f>
        <v/>
      </c>
    </row>
    <row r="606" spans="3:3" x14ac:dyDescent="0.25">
      <c r="C606" t="str">
        <f>IF(B606="","",VLOOKUP(B606,RAW[[Hotel Code]:[Hotel / Resort Name ]],2,0))</f>
        <v/>
      </c>
    </row>
    <row r="607" spans="3:3" x14ac:dyDescent="0.25">
      <c r="C607" t="str">
        <f>IF(B607="","",VLOOKUP(B607,RAW[[Hotel Code]:[Hotel / Resort Name ]],2,0))</f>
        <v/>
      </c>
    </row>
    <row r="608" spans="3:3" x14ac:dyDescent="0.25">
      <c r="C608" t="str">
        <f>IF(B608="","",VLOOKUP(B608,RAW[[Hotel Code]:[Hotel / Resort Name ]],2,0))</f>
        <v/>
      </c>
    </row>
    <row r="609" spans="3:3" x14ac:dyDescent="0.25">
      <c r="C609" t="str">
        <f>IF(B609="","",VLOOKUP(B609,RAW[[Hotel Code]:[Hotel / Resort Name ]],2,0))</f>
        <v/>
      </c>
    </row>
    <row r="610" spans="3:3" x14ac:dyDescent="0.25">
      <c r="C610" t="str">
        <f>IF(B610="","",VLOOKUP(B610,RAW[[Hotel Code]:[Hotel / Resort Name ]],2,0))</f>
        <v/>
      </c>
    </row>
    <row r="611" spans="3:3" x14ac:dyDescent="0.25">
      <c r="C611" t="str">
        <f>IF(B611="","",VLOOKUP(B611,RAW[[Hotel Code]:[Hotel / Resort Name ]],2,0))</f>
        <v/>
      </c>
    </row>
    <row r="612" spans="3:3" x14ac:dyDescent="0.25">
      <c r="C612" t="str">
        <f>IF(B612="","",VLOOKUP(B612,RAW[[Hotel Code]:[Hotel / Resort Name ]],2,0))</f>
        <v/>
      </c>
    </row>
    <row r="613" spans="3:3" x14ac:dyDescent="0.25">
      <c r="C613" t="str">
        <f>IF(B613="","",VLOOKUP(B613,RAW[[Hotel Code]:[Hotel / Resort Name ]],2,0))</f>
        <v/>
      </c>
    </row>
    <row r="614" spans="3:3" x14ac:dyDescent="0.25">
      <c r="C614" t="str">
        <f>IF(B614="","",VLOOKUP(B614,RAW[[Hotel Code]:[Hotel / Resort Name ]],2,0))</f>
        <v/>
      </c>
    </row>
    <row r="615" spans="3:3" x14ac:dyDescent="0.25">
      <c r="C615" t="str">
        <f>IF(B615="","",VLOOKUP(B615,RAW[[Hotel Code]:[Hotel / Resort Name ]],2,0))</f>
        <v/>
      </c>
    </row>
    <row r="616" spans="3:3" x14ac:dyDescent="0.25">
      <c r="C616" t="str">
        <f>IF(B616="","",VLOOKUP(B616,RAW[[Hotel Code]:[Hotel / Resort Name ]],2,0))</f>
        <v/>
      </c>
    </row>
    <row r="617" spans="3:3" x14ac:dyDescent="0.25">
      <c r="C617" t="str">
        <f>IF(B617="","",VLOOKUP(B617,RAW[[Hotel Code]:[Hotel / Resort Name ]],2,0))</f>
        <v/>
      </c>
    </row>
    <row r="618" spans="3:3" x14ac:dyDescent="0.25">
      <c r="C618" t="str">
        <f>IF(B618="","",VLOOKUP(B618,RAW[[Hotel Code]:[Hotel / Resort Name ]],2,0))</f>
        <v/>
      </c>
    </row>
    <row r="619" spans="3:3" x14ac:dyDescent="0.25">
      <c r="C619" t="str">
        <f>IF(B619="","",VLOOKUP(B619,RAW[[Hotel Code]:[Hotel / Resort Name ]],2,0))</f>
        <v/>
      </c>
    </row>
    <row r="620" spans="3:3" x14ac:dyDescent="0.25">
      <c r="C620" t="str">
        <f>IF(B620="","",VLOOKUP(B620,RAW[[Hotel Code]:[Hotel / Resort Name ]],2,0))</f>
        <v/>
      </c>
    </row>
    <row r="621" spans="3:3" x14ac:dyDescent="0.25">
      <c r="C621" t="str">
        <f>IF(B621="","",VLOOKUP(B621,RAW[[Hotel Code]:[Hotel / Resort Name ]],2,0))</f>
        <v/>
      </c>
    </row>
    <row r="622" spans="3:3" x14ac:dyDescent="0.25">
      <c r="C622" t="str">
        <f>IF(B622="","",VLOOKUP(B622,RAW[[Hotel Code]:[Hotel / Resort Name ]],2,0))</f>
        <v/>
      </c>
    </row>
    <row r="623" spans="3:3" x14ac:dyDescent="0.25">
      <c r="C623" t="str">
        <f>IF(B623="","",VLOOKUP(B623,RAW[[Hotel Code]:[Hotel / Resort Name ]],2,0))</f>
        <v/>
      </c>
    </row>
    <row r="624" spans="3:3" x14ac:dyDescent="0.25">
      <c r="C624" t="str">
        <f>IF(B624="","",VLOOKUP(B624,RAW[[Hotel Code]:[Hotel / Resort Name ]],2,0))</f>
        <v/>
      </c>
    </row>
    <row r="625" spans="3:3" x14ac:dyDescent="0.25">
      <c r="C625" t="str">
        <f>IF(B625="","",VLOOKUP(B625,RAW[[Hotel Code]:[Hotel / Resort Name ]],2,0))</f>
        <v/>
      </c>
    </row>
    <row r="626" spans="3:3" x14ac:dyDescent="0.25">
      <c r="C626" t="str">
        <f>IF(B626="","",VLOOKUP(B626,RAW[[Hotel Code]:[Hotel / Resort Name ]],2,0))</f>
        <v/>
      </c>
    </row>
    <row r="627" spans="3:3" x14ac:dyDescent="0.25">
      <c r="C627" t="str">
        <f>IF(B627="","",VLOOKUP(B627,RAW[[Hotel Code]:[Hotel / Resort Name ]],2,0))</f>
        <v/>
      </c>
    </row>
    <row r="628" spans="3:3" x14ac:dyDescent="0.25">
      <c r="C628" t="str">
        <f>IF(B628="","",VLOOKUP(B628,RAW[[Hotel Code]:[Hotel / Resort Name ]],2,0))</f>
        <v/>
      </c>
    </row>
    <row r="629" spans="3:3" x14ac:dyDescent="0.25">
      <c r="C629" t="str">
        <f>IF(B629="","",VLOOKUP(B629,RAW[[Hotel Code]:[Hotel / Resort Name ]],2,0))</f>
        <v/>
      </c>
    </row>
    <row r="630" spans="3:3" x14ac:dyDescent="0.25">
      <c r="C630" t="str">
        <f>IF(B630="","",VLOOKUP(B630,RAW[[Hotel Code]:[Hotel / Resort Name ]],2,0))</f>
        <v/>
      </c>
    </row>
    <row r="631" spans="3:3" x14ac:dyDescent="0.25">
      <c r="C631" t="str">
        <f>IF(B631="","",VLOOKUP(B631,RAW[[Hotel Code]:[Hotel / Resort Name ]],2,0))</f>
        <v/>
      </c>
    </row>
    <row r="632" spans="3:3" x14ac:dyDescent="0.25">
      <c r="C632" t="str">
        <f>IF(B632="","",VLOOKUP(B632,RAW[[Hotel Code]:[Hotel / Resort Name ]],2,0))</f>
        <v/>
      </c>
    </row>
    <row r="633" spans="3:3" x14ac:dyDescent="0.25">
      <c r="C633" t="str">
        <f>IF(B633="","",VLOOKUP(B633,RAW[[Hotel Code]:[Hotel / Resort Name ]],2,0))</f>
        <v/>
      </c>
    </row>
    <row r="634" spans="3:3" x14ac:dyDescent="0.25">
      <c r="C634" t="str">
        <f>IF(B634="","",VLOOKUP(B634,RAW[[Hotel Code]:[Hotel / Resort Name ]],2,0))</f>
        <v/>
      </c>
    </row>
    <row r="635" spans="3:3" x14ac:dyDescent="0.25">
      <c r="C635" t="str">
        <f>IF(B635="","",VLOOKUP(B635,RAW[[Hotel Code]:[Hotel / Resort Name ]],2,0))</f>
        <v/>
      </c>
    </row>
    <row r="636" spans="3:3" x14ac:dyDescent="0.25">
      <c r="C636" t="str">
        <f>IF(B636="","",VLOOKUP(B636,RAW[[Hotel Code]:[Hotel / Resort Name ]],2,0))</f>
        <v/>
      </c>
    </row>
    <row r="637" spans="3:3" x14ac:dyDescent="0.25">
      <c r="C637" t="str">
        <f>IF(B637="","",VLOOKUP(B637,RAW[[Hotel Code]:[Hotel / Resort Name ]],2,0))</f>
        <v/>
      </c>
    </row>
    <row r="638" spans="3:3" x14ac:dyDescent="0.25">
      <c r="C638" t="str">
        <f>IF(B638="","",VLOOKUP(B638,RAW[[Hotel Code]:[Hotel / Resort Name ]],2,0))</f>
        <v/>
      </c>
    </row>
    <row r="639" spans="3:3" x14ac:dyDescent="0.25">
      <c r="C639" t="str">
        <f>IF(B639="","",VLOOKUP(B639,RAW[[Hotel Code]:[Hotel / Resort Name ]],2,0))</f>
        <v/>
      </c>
    </row>
    <row r="640" spans="3:3" x14ac:dyDescent="0.25">
      <c r="C640" t="str">
        <f>IF(B640="","",VLOOKUP(B640,RAW[[Hotel Code]:[Hotel / Resort Name ]],2,0))</f>
        <v/>
      </c>
    </row>
    <row r="641" spans="3:3" x14ac:dyDescent="0.25">
      <c r="C641" t="str">
        <f>IF(B641="","",VLOOKUP(B641,RAW[[Hotel Code]:[Hotel / Resort Name ]],2,0))</f>
        <v/>
      </c>
    </row>
    <row r="642" spans="3:3" x14ac:dyDescent="0.25">
      <c r="C642" t="str">
        <f>IF(B642="","",VLOOKUP(B642,RAW[[Hotel Code]:[Hotel / Resort Name ]],2,0))</f>
        <v/>
      </c>
    </row>
    <row r="643" spans="3:3" x14ac:dyDescent="0.25">
      <c r="C643" t="str">
        <f>IF(B643="","",VLOOKUP(B643,RAW[[Hotel Code]:[Hotel / Resort Name ]],2,0))</f>
        <v/>
      </c>
    </row>
    <row r="644" spans="3:3" x14ac:dyDescent="0.25">
      <c r="C644" t="str">
        <f>IF(B644="","",VLOOKUP(B644,RAW[[Hotel Code]:[Hotel / Resort Name ]],2,0))</f>
        <v/>
      </c>
    </row>
    <row r="645" spans="3:3" x14ac:dyDescent="0.25">
      <c r="C645" t="str">
        <f>IF(B645="","",VLOOKUP(B645,RAW[[Hotel Code]:[Hotel / Resort Name ]],2,0))</f>
        <v/>
      </c>
    </row>
    <row r="646" spans="3:3" x14ac:dyDescent="0.25">
      <c r="C646" t="str">
        <f>IF(B646="","",VLOOKUP(B646,RAW[[Hotel Code]:[Hotel / Resort Name ]],2,0))</f>
        <v/>
      </c>
    </row>
    <row r="647" spans="3:3" x14ac:dyDescent="0.25">
      <c r="C647" t="str">
        <f>IF(B647="","",VLOOKUP(B647,RAW[[Hotel Code]:[Hotel / Resort Name ]],2,0))</f>
        <v/>
      </c>
    </row>
    <row r="648" spans="3:3" x14ac:dyDescent="0.25">
      <c r="C648" t="str">
        <f>IF(B648="","",VLOOKUP(B648,RAW[[Hotel Code]:[Hotel / Resort Name ]],2,0))</f>
        <v/>
      </c>
    </row>
    <row r="649" spans="3:3" x14ac:dyDescent="0.25">
      <c r="C649" t="str">
        <f>IF(B649="","",VLOOKUP(B649,RAW[[Hotel Code]:[Hotel / Resort Name ]],2,0))</f>
        <v/>
      </c>
    </row>
    <row r="650" spans="3:3" x14ac:dyDescent="0.25">
      <c r="C650" t="str">
        <f>IF(B650="","",VLOOKUP(B650,RAW[[Hotel Code]:[Hotel / Resort Name ]],2,0))</f>
        <v/>
      </c>
    </row>
    <row r="651" spans="3:3" x14ac:dyDescent="0.25">
      <c r="C651" t="str">
        <f>IF(B651="","",VLOOKUP(B651,RAW[[Hotel Code]:[Hotel / Resort Name ]],2,0))</f>
        <v/>
      </c>
    </row>
    <row r="652" spans="3:3" x14ac:dyDescent="0.25">
      <c r="C652" t="str">
        <f>IF(B652="","",VLOOKUP(B652,RAW[[Hotel Code]:[Hotel / Resort Name ]],2,0))</f>
        <v/>
      </c>
    </row>
    <row r="653" spans="3:3" x14ac:dyDescent="0.25">
      <c r="C653" t="str">
        <f>IF(B653="","",VLOOKUP(B653,RAW[[Hotel Code]:[Hotel / Resort Name ]],2,0))</f>
        <v/>
      </c>
    </row>
    <row r="654" spans="3:3" x14ac:dyDescent="0.25">
      <c r="C654" t="str">
        <f>IF(B654="","",VLOOKUP(B654,RAW[[Hotel Code]:[Hotel / Resort Name ]],2,0))</f>
        <v/>
      </c>
    </row>
    <row r="655" spans="3:3" x14ac:dyDescent="0.25">
      <c r="C655" t="str">
        <f>IF(B655="","",VLOOKUP(B655,RAW[[Hotel Code]:[Hotel / Resort Name ]],2,0))</f>
        <v/>
      </c>
    </row>
    <row r="656" spans="3:3" x14ac:dyDescent="0.25">
      <c r="C656" t="str">
        <f>IF(B656="","",VLOOKUP(B656,RAW[[Hotel Code]:[Hotel / Resort Name ]],2,0))</f>
        <v/>
      </c>
    </row>
    <row r="657" spans="3:3" x14ac:dyDescent="0.25">
      <c r="C657" t="str">
        <f>IF(B657="","",VLOOKUP(B657,RAW[[Hotel Code]:[Hotel / Resort Name ]],2,0))</f>
        <v/>
      </c>
    </row>
    <row r="658" spans="3:3" x14ac:dyDescent="0.25">
      <c r="C658" t="str">
        <f>IF(B658="","",VLOOKUP(B658,RAW[[Hotel Code]:[Hotel / Resort Name ]],2,0))</f>
        <v/>
      </c>
    </row>
    <row r="659" spans="3:3" x14ac:dyDescent="0.25">
      <c r="C659" t="str">
        <f>IF(B659="","",VLOOKUP(B659,RAW[[Hotel Code]:[Hotel / Resort Name ]],2,0))</f>
        <v/>
      </c>
    </row>
    <row r="660" spans="3:3" x14ac:dyDescent="0.25">
      <c r="C660" t="str">
        <f>IF(B660="","",VLOOKUP(B660,RAW[[Hotel Code]:[Hotel / Resort Name ]],2,0))</f>
        <v/>
      </c>
    </row>
    <row r="661" spans="3:3" x14ac:dyDescent="0.25">
      <c r="C661" t="str">
        <f>IF(B661="","",VLOOKUP(B661,RAW[[Hotel Code]:[Hotel / Resort Name ]],2,0))</f>
        <v/>
      </c>
    </row>
    <row r="662" spans="3:3" x14ac:dyDescent="0.25">
      <c r="C662" t="str">
        <f>IF(B662="","",VLOOKUP(B662,RAW[[Hotel Code]:[Hotel / Resort Name ]],2,0))</f>
        <v/>
      </c>
    </row>
    <row r="663" spans="3:3" x14ac:dyDescent="0.25">
      <c r="C663" t="str">
        <f>IF(B663="","",VLOOKUP(B663,RAW[[Hotel Code]:[Hotel / Resort Name ]],2,0))</f>
        <v/>
      </c>
    </row>
    <row r="664" spans="3:3" x14ac:dyDescent="0.25">
      <c r="C664" t="str">
        <f>IF(B664="","",VLOOKUP(B664,RAW[[Hotel Code]:[Hotel / Resort Name ]],2,0))</f>
        <v/>
      </c>
    </row>
    <row r="665" spans="3:3" x14ac:dyDescent="0.25">
      <c r="C665" t="str">
        <f>IF(B665="","",VLOOKUP(B665,RAW[[Hotel Code]:[Hotel / Resort Name ]],2,0))</f>
        <v/>
      </c>
    </row>
    <row r="666" spans="3:3" x14ac:dyDescent="0.25">
      <c r="C666" t="str">
        <f>IF(B666="","",VLOOKUP(B666,RAW[[Hotel Code]:[Hotel / Resort Name ]],2,0))</f>
        <v/>
      </c>
    </row>
    <row r="667" spans="3:3" x14ac:dyDescent="0.25">
      <c r="C667" t="str">
        <f>IF(B667="","",VLOOKUP(B667,RAW[[Hotel Code]:[Hotel / Resort Name ]],2,0))</f>
        <v/>
      </c>
    </row>
    <row r="668" spans="3:3" x14ac:dyDescent="0.25">
      <c r="C668" t="str">
        <f>IF(B668="","",VLOOKUP(B668,RAW[[Hotel Code]:[Hotel / Resort Name ]],2,0))</f>
        <v/>
      </c>
    </row>
    <row r="669" spans="3:3" x14ac:dyDescent="0.25">
      <c r="C669" t="str">
        <f>IF(B669="","",VLOOKUP(B669,RAW[[Hotel Code]:[Hotel / Resort Name ]],2,0))</f>
        <v/>
      </c>
    </row>
    <row r="670" spans="3:3" x14ac:dyDescent="0.25">
      <c r="C670" t="str">
        <f>IF(B670="","",VLOOKUP(B670,RAW[[Hotel Code]:[Hotel / Resort Name ]],2,0))</f>
        <v/>
      </c>
    </row>
    <row r="671" spans="3:3" x14ac:dyDescent="0.25">
      <c r="C671" t="str">
        <f>IF(B671="","",VLOOKUP(B671,RAW[[Hotel Code]:[Hotel / Resort Name ]],2,0))</f>
        <v/>
      </c>
    </row>
    <row r="672" spans="3:3" x14ac:dyDescent="0.25">
      <c r="C672" t="str">
        <f>IF(B672="","",VLOOKUP(B672,RAW[[Hotel Code]:[Hotel / Resort Name ]],2,0))</f>
        <v/>
      </c>
    </row>
    <row r="673" spans="3:3" x14ac:dyDescent="0.25">
      <c r="C673" t="str">
        <f>IF(B673="","",VLOOKUP(B673,RAW[[Hotel Code]:[Hotel / Resort Name ]],2,0))</f>
        <v/>
      </c>
    </row>
    <row r="674" spans="3:3" x14ac:dyDescent="0.25">
      <c r="C674" t="str">
        <f>IF(B674="","",VLOOKUP(B674,RAW[[Hotel Code]:[Hotel / Resort Name ]],2,0))</f>
        <v/>
      </c>
    </row>
    <row r="675" spans="3:3" x14ac:dyDescent="0.25">
      <c r="C675" t="str">
        <f>IF(B675="","",VLOOKUP(B675,RAW[[Hotel Code]:[Hotel / Resort Name ]],2,0))</f>
        <v/>
      </c>
    </row>
    <row r="676" spans="3:3" x14ac:dyDescent="0.25">
      <c r="C676" t="str">
        <f>IF(B676="","",VLOOKUP(B676,RAW[[Hotel Code]:[Hotel / Resort Name ]],2,0))</f>
        <v/>
      </c>
    </row>
    <row r="677" spans="3:3" x14ac:dyDescent="0.25">
      <c r="C677" t="str">
        <f>IF(B677="","",VLOOKUP(B677,RAW[[Hotel Code]:[Hotel / Resort Name ]],2,0))</f>
        <v/>
      </c>
    </row>
    <row r="678" spans="3:3" x14ac:dyDescent="0.25">
      <c r="C678" t="str">
        <f>IF(B678="","",VLOOKUP(B678,RAW[[Hotel Code]:[Hotel / Resort Name ]],2,0))</f>
        <v/>
      </c>
    </row>
    <row r="679" spans="3:3" x14ac:dyDescent="0.25">
      <c r="C679" t="str">
        <f>IF(B679="","",VLOOKUP(B679,RAW[[Hotel Code]:[Hotel / Resort Name ]],2,0))</f>
        <v/>
      </c>
    </row>
    <row r="680" spans="3:3" x14ac:dyDescent="0.25">
      <c r="C680" t="str">
        <f>IF(B680="","",VLOOKUP(B680,RAW[[Hotel Code]:[Hotel / Resort Name ]],2,0))</f>
        <v/>
      </c>
    </row>
    <row r="681" spans="3:3" x14ac:dyDescent="0.25">
      <c r="C681" t="str">
        <f>IF(B681="","",VLOOKUP(B681,RAW[[Hotel Code]:[Hotel / Resort Name ]],2,0))</f>
        <v/>
      </c>
    </row>
    <row r="682" spans="3:3" x14ac:dyDescent="0.25">
      <c r="C682" t="str">
        <f>IF(B682="","",VLOOKUP(B682,RAW[[Hotel Code]:[Hotel / Resort Name ]],2,0))</f>
        <v/>
      </c>
    </row>
    <row r="683" spans="3:3" x14ac:dyDescent="0.25">
      <c r="C683" t="str">
        <f>IF(B683="","",VLOOKUP(B683,RAW[[Hotel Code]:[Hotel / Resort Name ]],2,0))</f>
        <v/>
      </c>
    </row>
    <row r="684" spans="3:3" x14ac:dyDescent="0.25">
      <c r="C684" t="str">
        <f>IF(B684="","",VLOOKUP(B684,RAW[[Hotel Code]:[Hotel / Resort Name ]],2,0))</f>
        <v/>
      </c>
    </row>
    <row r="685" spans="3:3" x14ac:dyDescent="0.25">
      <c r="C685" t="str">
        <f>IF(B685="","",VLOOKUP(B685,RAW[[Hotel Code]:[Hotel / Resort Name ]],2,0))</f>
        <v/>
      </c>
    </row>
    <row r="686" spans="3:3" x14ac:dyDescent="0.25">
      <c r="C686" t="str">
        <f>IF(B686="","",VLOOKUP(B686,RAW[[Hotel Code]:[Hotel / Resort Name ]],2,0))</f>
        <v/>
      </c>
    </row>
    <row r="687" spans="3:3" x14ac:dyDescent="0.25">
      <c r="C687" t="str">
        <f>IF(B687="","",VLOOKUP(B687,RAW[[Hotel Code]:[Hotel / Resort Name ]],2,0))</f>
        <v/>
      </c>
    </row>
    <row r="688" spans="3:3" x14ac:dyDescent="0.25">
      <c r="C688" t="str">
        <f>IF(B688="","",VLOOKUP(B688,RAW[[Hotel Code]:[Hotel / Resort Name ]],2,0))</f>
        <v/>
      </c>
    </row>
    <row r="689" spans="3:3" x14ac:dyDescent="0.25">
      <c r="C689" t="str">
        <f>IF(B689="","",VLOOKUP(B689,RAW[[Hotel Code]:[Hotel / Resort Name ]],2,0))</f>
        <v/>
      </c>
    </row>
    <row r="690" spans="3:3" x14ac:dyDescent="0.25">
      <c r="C690" t="str">
        <f>IF(B690="","",VLOOKUP(B690,RAW[[Hotel Code]:[Hotel / Resort Name ]],2,0))</f>
        <v/>
      </c>
    </row>
    <row r="691" spans="3:3" x14ac:dyDescent="0.25">
      <c r="C691" t="str">
        <f>IF(B691="","",VLOOKUP(B691,RAW[[Hotel Code]:[Hotel / Resort Name ]],2,0))</f>
        <v/>
      </c>
    </row>
    <row r="692" spans="3:3" x14ac:dyDescent="0.25">
      <c r="C692" t="str">
        <f>IF(B692="","",VLOOKUP(B692,RAW[[Hotel Code]:[Hotel / Resort Name ]],2,0))</f>
        <v/>
      </c>
    </row>
    <row r="693" spans="3:3" x14ac:dyDescent="0.25">
      <c r="C693" t="str">
        <f>IF(B693="","",VLOOKUP(B693,RAW[[Hotel Code]:[Hotel / Resort Name ]],2,0))</f>
        <v/>
      </c>
    </row>
    <row r="694" spans="3:3" x14ac:dyDescent="0.25">
      <c r="C694" t="str">
        <f>IF(B694="","",VLOOKUP(B694,RAW[[Hotel Code]:[Hotel / Resort Name ]],2,0))</f>
        <v/>
      </c>
    </row>
    <row r="695" spans="3:3" x14ac:dyDescent="0.25">
      <c r="C695" t="str">
        <f>IF(B695="","",VLOOKUP(B695,RAW[[Hotel Code]:[Hotel / Resort Name ]],2,0))</f>
        <v/>
      </c>
    </row>
    <row r="696" spans="3:3" x14ac:dyDescent="0.25">
      <c r="C696" t="str">
        <f>IF(B696="","",VLOOKUP(B696,RAW[[Hotel Code]:[Hotel / Resort Name ]],2,0))</f>
        <v/>
      </c>
    </row>
    <row r="697" spans="3:3" x14ac:dyDescent="0.25">
      <c r="C697" t="str">
        <f>IF(B697="","",VLOOKUP(B697,RAW[[Hotel Code]:[Hotel / Resort Name ]],2,0))</f>
        <v/>
      </c>
    </row>
    <row r="698" spans="3:3" x14ac:dyDescent="0.25">
      <c r="C698" t="str">
        <f>IF(B698="","",VLOOKUP(B698,RAW[[Hotel Code]:[Hotel / Resort Name ]],2,0))</f>
        <v/>
      </c>
    </row>
    <row r="699" spans="3:3" x14ac:dyDescent="0.25">
      <c r="C699" t="str">
        <f>IF(B699="","",VLOOKUP(B699,RAW[[Hotel Code]:[Hotel / Resort Name ]],2,0))</f>
        <v/>
      </c>
    </row>
    <row r="700" spans="3:3" x14ac:dyDescent="0.25">
      <c r="C700" t="str">
        <f>IF(B700="","",VLOOKUP(B700,RAW[[Hotel Code]:[Hotel / Resort Name ]],2,0))</f>
        <v/>
      </c>
    </row>
    <row r="701" spans="3:3" x14ac:dyDescent="0.25">
      <c r="C701" t="str">
        <f>IF(B701="","",VLOOKUP(B701,RAW[[Hotel Code]:[Hotel / Resort Name ]],2,0))</f>
        <v/>
      </c>
    </row>
    <row r="702" spans="3:3" x14ac:dyDescent="0.25">
      <c r="C702" t="str">
        <f>IF(B702="","",VLOOKUP(B702,RAW[[Hotel Code]:[Hotel / Resort Name ]],2,0))</f>
        <v/>
      </c>
    </row>
    <row r="703" spans="3:3" x14ac:dyDescent="0.25">
      <c r="C703" t="str">
        <f>IF(B703="","",VLOOKUP(B703,RAW[[Hotel Code]:[Hotel / Resort Name ]],2,0))</f>
        <v/>
      </c>
    </row>
    <row r="704" spans="3:3" x14ac:dyDescent="0.25">
      <c r="C704" t="str">
        <f>IF(B704="","",VLOOKUP(B704,RAW[[Hotel Code]:[Hotel / Resort Name ]],2,0))</f>
        <v/>
      </c>
    </row>
    <row r="705" spans="3:3" x14ac:dyDescent="0.25">
      <c r="C705" t="str">
        <f>IF(B705="","",VLOOKUP(B705,RAW[[Hotel Code]:[Hotel / Resort Name ]],2,0))</f>
        <v/>
      </c>
    </row>
    <row r="706" spans="3:3" x14ac:dyDescent="0.25">
      <c r="C706" t="str">
        <f>IF(B706="","",VLOOKUP(B706,RAW[[Hotel Code]:[Hotel / Resort Name ]],2,0))</f>
        <v/>
      </c>
    </row>
    <row r="707" spans="3:3" x14ac:dyDescent="0.25">
      <c r="C707" t="str">
        <f>IF(B707="","",VLOOKUP(B707,RAW[[Hotel Code]:[Hotel / Resort Name ]],2,0))</f>
        <v/>
      </c>
    </row>
    <row r="708" spans="3:3" x14ac:dyDescent="0.25">
      <c r="C708" t="str">
        <f>IF(B708="","",VLOOKUP(B708,RAW[[Hotel Code]:[Hotel / Resort Name ]],2,0))</f>
        <v/>
      </c>
    </row>
    <row r="709" spans="3:3" x14ac:dyDescent="0.25">
      <c r="C709" t="str">
        <f>IF(B709="","",VLOOKUP(B709,RAW[[Hotel Code]:[Hotel / Resort Name ]],2,0))</f>
        <v/>
      </c>
    </row>
    <row r="710" spans="3:3" x14ac:dyDescent="0.25">
      <c r="C710" t="str">
        <f>IF(B710="","",VLOOKUP(B710,RAW[[Hotel Code]:[Hotel / Resort Name ]],2,0))</f>
        <v/>
      </c>
    </row>
    <row r="711" spans="3:3" x14ac:dyDescent="0.25">
      <c r="C711" t="str">
        <f>IF(B711="","",VLOOKUP(B711,RAW[[Hotel Code]:[Hotel / Resort Name ]],2,0))</f>
        <v/>
      </c>
    </row>
    <row r="712" spans="3:3" x14ac:dyDescent="0.25">
      <c r="C712" t="str">
        <f>IF(B712="","",VLOOKUP(B712,RAW[[Hotel Code]:[Hotel / Resort Name ]],2,0))</f>
        <v/>
      </c>
    </row>
    <row r="713" spans="3:3" x14ac:dyDescent="0.25">
      <c r="C713" t="str">
        <f>IF(B713="","",VLOOKUP(B713,RAW[[Hotel Code]:[Hotel / Resort Name ]],2,0))</f>
        <v/>
      </c>
    </row>
    <row r="714" spans="3:3" x14ac:dyDescent="0.25">
      <c r="C714" t="str">
        <f>IF(B714="","",VLOOKUP(B714,RAW[[Hotel Code]:[Hotel / Resort Name ]],2,0))</f>
        <v/>
      </c>
    </row>
    <row r="715" spans="3:3" x14ac:dyDescent="0.25">
      <c r="C715" t="str">
        <f>IF(B715="","",VLOOKUP(B715,RAW[[Hotel Code]:[Hotel / Resort Name ]],2,0))</f>
        <v/>
      </c>
    </row>
    <row r="716" spans="3:3" x14ac:dyDescent="0.25">
      <c r="C716" t="str">
        <f>IF(B716="","",VLOOKUP(B716,RAW[[Hotel Code]:[Hotel / Resort Name ]],2,0))</f>
        <v/>
      </c>
    </row>
    <row r="717" spans="3:3" x14ac:dyDescent="0.25">
      <c r="C717" t="str">
        <f>IF(B717="","",VLOOKUP(B717,RAW[[Hotel Code]:[Hotel / Resort Name ]],2,0))</f>
        <v/>
      </c>
    </row>
    <row r="718" spans="3:3" x14ac:dyDescent="0.25">
      <c r="C718" t="str">
        <f>IF(B718="","",VLOOKUP(B718,RAW[[Hotel Code]:[Hotel / Resort Name ]],2,0))</f>
        <v/>
      </c>
    </row>
    <row r="719" spans="3:3" x14ac:dyDescent="0.25">
      <c r="C719" t="str">
        <f>IF(B719="","",VLOOKUP(B719,RAW[[Hotel Code]:[Hotel / Resort Name ]],2,0))</f>
        <v/>
      </c>
    </row>
    <row r="720" spans="3:3" x14ac:dyDescent="0.25">
      <c r="C720" t="str">
        <f>IF(B720="","",VLOOKUP(B720,RAW[[Hotel Code]:[Hotel / Resort Name ]],2,0))</f>
        <v/>
      </c>
    </row>
    <row r="721" spans="3:3" x14ac:dyDescent="0.25">
      <c r="C721" t="str">
        <f>IF(B721="","",VLOOKUP(B721,RAW[[Hotel Code]:[Hotel / Resort Name ]],2,0))</f>
        <v/>
      </c>
    </row>
    <row r="722" spans="3:3" x14ac:dyDescent="0.25">
      <c r="C722" t="str">
        <f>IF(B722="","",VLOOKUP(B722,RAW[[Hotel Code]:[Hotel / Resort Name ]],2,0))</f>
        <v/>
      </c>
    </row>
    <row r="723" spans="3:3" x14ac:dyDescent="0.25">
      <c r="C723" t="str">
        <f>IF(B723="","",VLOOKUP(B723,RAW[[Hotel Code]:[Hotel / Resort Name ]],2,0))</f>
        <v/>
      </c>
    </row>
    <row r="724" spans="3:3" x14ac:dyDescent="0.25">
      <c r="C724" t="str">
        <f>IF(B724="","",VLOOKUP(B724,RAW[[Hotel Code]:[Hotel / Resort Name ]],2,0))</f>
        <v/>
      </c>
    </row>
    <row r="725" spans="3:3" x14ac:dyDescent="0.25">
      <c r="C725" t="str">
        <f>IF(B725="","",VLOOKUP(B725,RAW[[Hotel Code]:[Hotel / Resort Name ]],2,0))</f>
        <v/>
      </c>
    </row>
    <row r="726" spans="3:3" x14ac:dyDescent="0.25">
      <c r="C726" t="str">
        <f>IF(B726="","",VLOOKUP(B726,RAW[[Hotel Code]:[Hotel / Resort Name ]],2,0))</f>
        <v/>
      </c>
    </row>
    <row r="727" spans="3:3" x14ac:dyDescent="0.25">
      <c r="C727" t="str">
        <f>IF(B727="","",VLOOKUP(B727,RAW[[Hotel Code]:[Hotel / Resort Name ]],2,0))</f>
        <v/>
      </c>
    </row>
    <row r="728" spans="3:3" x14ac:dyDescent="0.25">
      <c r="C728" t="str">
        <f>IF(B728="","",VLOOKUP(B728,RAW[[Hotel Code]:[Hotel / Resort Name ]],2,0))</f>
        <v/>
      </c>
    </row>
    <row r="729" spans="3:3" x14ac:dyDescent="0.25">
      <c r="C729" t="str">
        <f>IF(B729="","",VLOOKUP(B729,RAW[[Hotel Code]:[Hotel / Resort Name ]],2,0))</f>
        <v/>
      </c>
    </row>
    <row r="730" spans="3:3" x14ac:dyDescent="0.25">
      <c r="C730" t="str">
        <f>IF(B730="","",VLOOKUP(B730,RAW[[Hotel Code]:[Hotel / Resort Name ]],2,0))</f>
        <v/>
      </c>
    </row>
    <row r="731" spans="3:3" x14ac:dyDescent="0.25">
      <c r="C731" t="str">
        <f>IF(B731="","",VLOOKUP(B731,RAW[[Hotel Code]:[Hotel / Resort Name ]],2,0))</f>
        <v/>
      </c>
    </row>
    <row r="732" spans="3:3" x14ac:dyDescent="0.25">
      <c r="C732" t="str">
        <f>IF(B732="","",VLOOKUP(B732,RAW[[Hotel Code]:[Hotel / Resort Name ]],2,0))</f>
        <v/>
      </c>
    </row>
    <row r="733" spans="3:3" x14ac:dyDescent="0.25">
      <c r="C733" t="str">
        <f>IF(B733="","",VLOOKUP(B733,RAW[[Hotel Code]:[Hotel / Resort Name ]],2,0))</f>
        <v/>
      </c>
    </row>
    <row r="734" spans="3:3" x14ac:dyDescent="0.25">
      <c r="C734" t="str">
        <f>IF(B734="","",VLOOKUP(B734,RAW[[Hotel Code]:[Hotel / Resort Name ]],2,0))</f>
        <v/>
      </c>
    </row>
    <row r="735" spans="3:3" x14ac:dyDescent="0.25">
      <c r="C735" t="str">
        <f>IF(B735="","",VLOOKUP(B735,RAW[[Hotel Code]:[Hotel / Resort Name ]],2,0))</f>
        <v/>
      </c>
    </row>
    <row r="736" spans="3:3" x14ac:dyDescent="0.25">
      <c r="C736" t="str">
        <f>IF(B736="","",VLOOKUP(B736,RAW[[Hotel Code]:[Hotel / Resort Name ]],2,0))</f>
        <v/>
      </c>
    </row>
    <row r="737" spans="3:3" x14ac:dyDescent="0.25">
      <c r="C737" t="str">
        <f>IF(B737="","",VLOOKUP(B737,RAW[[Hotel Code]:[Hotel / Resort Name ]],2,0))</f>
        <v/>
      </c>
    </row>
    <row r="738" spans="3:3" x14ac:dyDescent="0.25">
      <c r="C738" t="str">
        <f>IF(B738="","",VLOOKUP(B738,RAW[[Hotel Code]:[Hotel / Resort Name ]],2,0))</f>
        <v/>
      </c>
    </row>
    <row r="739" spans="3:3" x14ac:dyDescent="0.25">
      <c r="C739" t="str">
        <f>IF(B739="","",VLOOKUP(B739,RAW[[Hotel Code]:[Hotel / Resort Name ]],2,0))</f>
        <v/>
      </c>
    </row>
    <row r="740" spans="3:3" x14ac:dyDescent="0.25">
      <c r="C740" t="str">
        <f>IF(B740="","",VLOOKUP(B740,RAW[[Hotel Code]:[Hotel / Resort Name ]],2,0))</f>
        <v/>
      </c>
    </row>
    <row r="741" spans="3:3" x14ac:dyDescent="0.25">
      <c r="C741" t="str">
        <f>IF(B741="","",VLOOKUP(B741,RAW[[Hotel Code]:[Hotel / Resort Name ]],2,0))</f>
        <v/>
      </c>
    </row>
    <row r="742" spans="3:3" x14ac:dyDescent="0.25">
      <c r="C742" t="str">
        <f>IF(B742="","",VLOOKUP(B742,RAW[[Hotel Code]:[Hotel / Resort Name ]],2,0))</f>
        <v/>
      </c>
    </row>
    <row r="743" spans="3:3" x14ac:dyDescent="0.25">
      <c r="C743" t="str">
        <f>IF(B743="","",VLOOKUP(B743,RAW[[Hotel Code]:[Hotel / Resort Name ]],2,0))</f>
        <v/>
      </c>
    </row>
    <row r="744" spans="3:3" x14ac:dyDescent="0.25">
      <c r="C744" t="str">
        <f>IF(B744="","",VLOOKUP(B744,RAW[[Hotel Code]:[Hotel / Resort Name ]],2,0))</f>
        <v/>
      </c>
    </row>
    <row r="745" spans="3:3" x14ac:dyDescent="0.25">
      <c r="C745" t="str">
        <f>IF(B745="","",VLOOKUP(B745,RAW[[Hotel Code]:[Hotel / Resort Name ]],2,0))</f>
        <v/>
      </c>
    </row>
    <row r="746" spans="3:3" x14ac:dyDescent="0.25">
      <c r="C746" t="str">
        <f>IF(B746="","",VLOOKUP(B746,RAW[[Hotel Code]:[Hotel / Resort Name ]],2,0))</f>
        <v/>
      </c>
    </row>
    <row r="747" spans="3:3" x14ac:dyDescent="0.25">
      <c r="C747" t="str">
        <f>IF(B747="","",VLOOKUP(B747,RAW[[Hotel Code]:[Hotel / Resort Name ]],2,0))</f>
        <v/>
      </c>
    </row>
    <row r="748" spans="3:3" x14ac:dyDescent="0.25">
      <c r="C748" t="str">
        <f>IF(B748="","",VLOOKUP(B748,RAW[[Hotel Code]:[Hotel / Resort Name ]],2,0))</f>
        <v/>
      </c>
    </row>
    <row r="749" spans="3:3" x14ac:dyDescent="0.25">
      <c r="C749" t="str">
        <f>IF(B749="","",VLOOKUP(B749,RAW[[Hotel Code]:[Hotel / Resort Name ]],2,0))</f>
        <v/>
      </c>
    </row>
    <row r="750" spans="3:3" x14ac:dyDescent="0.25">
      <c r="C750" t="str">
        <f>IF(B750="","",VLOOKUP(B750,RAW[[Hotel Code]:[Hotel / Resort Name ]],2,0))</f>
        <v/>
      </c>
    </row>
    <row r="751" spans="3:3" x14ac:dyDescent="0.25">
      <c r="C751" t="str">
        <f>IF(B751="","",VLOOKUP(B751,RAW[[Hotel Code]:[Hotel / Resort Name ]],2,0))</f>
        <v/>
      </c>
    </row>
    <row r="752" spans="3:3" x14ac:dyDescent="0.25">
      <c r="C752" t="str">
        <f>IF(B752="","",VLOOKUP(B752,RAW[[Hotel Code]:[Hotel / Resort Name ]],2,0))</f>
        <v/>
      </c>
    </row>
    <row r="753" spans="3:3" x14ac:dyDescent="0.25">
      <c r="C753" t="str">
        <f>IF(B753="","",VLOOKUP(B753,RAW[[Hotel Code]:[Hotel / Resort Name ]],2,0))</f>
        <v/>
      </c>
    </row>
    <row r="754" spans="3:3" x14ac:dyDescent="0.25">
      <c r="C754" t="str">
        <f>IF(B754="","",VLOOKUP(B754,RAW[[Hotel Code]:[Hotel / Resort Name ]],2,0))</f>
        <v/>
      </c>
    </row>
    <row r="755" spans="3:3" x14ac:dyDescent="0.25">
      <c r="C755" t="str">
        <f>IF(B755="","",VLOOKUP(B755,RAW[[Hotel Code]:[Hotel / Resort Name ]],2,0))</f>
        <v/>
      </c>
    </row>
    <row r="756" spans="3:3" x14ac:dyDescent="0.25">
      <c r="C756" t="str">
        <f>IF(B756="","",VLOOKUP(B756,RAW[[Hotel Code]:[Hotel / Resort Name ]],2,0))</f>
        <v/>
      </c>
    </row>
    <row r="757" spans="3:3" x14ac:dyDescent="0.25">
      <c r="C757" t="str">
        <f>IF(B757="","",VLOOKUP(B757,RAW[[Hotel Code]:[Hotel / Resort Name ]],2,0))</f>
        <v/>
      </c>
    </row>
    <row r="758" spans="3:3" x14ac:dyDescent="0.25">
      <c r="C758" t="str">
        <f>IF(B758="","",VLOOKUP(B758,RAW[[Hotel Code]:[Hotel / Resort Name ]],2,0))</f>
        <v/>
      </c>
    </row>
    <row r="759" spans="3:3" x14ac:dyDescent="0.25">
      <c r="C759" t="str">
        <f>IF(B759="","",VLOOKUP(B759,RAW[[Hotel Code]:[Hotel / Resort Name ]],2,0))</f>
        <v/>
      </c>
    </row>
    <row r="760" spans="3:3" x14ac:dyDescent="0.25">
      <c r="C760" t="str">
        <f>IF(B760="","",VLOOKUP(B760,RAW[[Hotel Code]:[Hotel / Resort Name ]],2,0))</f>
        <v/>
      </c>
    </row>
    <row r="761" spans="3:3" x14ac:dyDescent="0.25">
      <c r="C761" t="str">
        <f>IF(B761="","",VLOOKUP(B761,RAW[[Hotel Code]:[Hotel / Resort Name ]],2,0))</f>
        <v/>
      </c>
    </row>
    <row r="762" spans="3:3" x14ac:dyDescent="0.25">
      <c r="C762" t="str">
        <f>IF(B762="","",VLOOKUP(B762,RAW[[Hotel Code]:[Hotel / Resort Name ]],2,0))</f>
        <v/>
      </c>
    </row>
    <row r="763" spans="3:3" x14ac:dyDescent="0.25">
      <c r="C763" t="str">
        <f>IF(B763="","",VLOOKUP(B763,RAW[[Hotel Code]:[Hotel / Resort Name ]],2,0))</f>
        <v/>
      </c>
    </row>
    <row r="764" spans="3:3" x14ac:dyDescent="0.25">
      <c r="C764" t="str">
        <f>IF(B764="","",VLOOKUP(B764,RAW[[Hotel Code]:[Hotel / Resort Name ]],2,0))</f>
        <v/>
      </c>
    </row>
    <row r="765" spans="3:3" x14ac:dyDescent="0.25">
      <c r="C765" t="str">
        <f>IF(B765="","",VLOOKUP(B765,RAW[[Hotel Code]:[Hotel / Resort Name ]],2,0))</f>
        <v/>
      </c>
    </row>
    <row r="766" spans="3:3" x14ac:dyDescent="0.25">
      <c r="C766" t="str">
        <f>IF(B766="","",VLOOKUP(B766,RAW[[Hotel Code]:[Hotel / Resort Name ]],2,0))</f>
        <v/>
      </c>
    </row>
    <row r="767" spans="3:3" x14ac:dyDescent="0.25">
      <c r="C767" t="str">
        <f>IF(B767="","",VLOOKUP(B767,RAW[[Hotel Code]:[Hotel / Resort Name ]],2,0))</f>
        <v/>
      </c>
    </row>
    <row r="768" spans="3:3" x14ac:dyDescent="0.25">
      <c r="C768" t="str">
        <f>IF(B768="","",VLOOKUP(B768,RAW[[Hotel Code]:[Hotel / Resort Name ]],2,0))</f>
        <v/>
      </c>
    </row>
    <row r="769" spans="3:3" x14ac:dyDescent="0.25">
      <c r="C769" t="str">
        <f>IF(B769="","",VLOOKUP(B769,RAW[[Hotel Code]:[Hotel / Resort Name ]],2,0))</f>
        <v/>
      </c>
    </row>
    <row r="770" spans="3:3" x14ac:dyDescent="0.25">
      <c r="C770" t="str">
        <f>IF(B770="","",VLOOKUP(B770,RAW[[Hotel Code]:[Hotel / Resort Name ]],2,0))</f>
        <v/>
      </c>
    </row>
    <row r="771" spans="3:3" x14ac:dyDescent="0.25">
      <c r="C771" t="str">
        <f>IF(B771="","",VLOOKUP(B771,RAW[[Hotel Code]:[Hotel / Resort Name ]],2,0))</f>
        <v/>
      </c>
    </row>
    <row r="772" spans="3:3" x14ac:dyDescent="0.25">
      <c r="C772" t="str">
        <f>IF(B772="","",VLOOKUP(B772,RAW[[Hotel Code]:[Hotel / Resort Name ]],2,0))</f>
        <v/>
      </c>
    </row>
    <row r="773" spans="3:3" x14ac:dyDescent="0.25">
      <c r="C773" t="str">
        <f>IF(B773="","",VLOOKUP(B773,RAW[[Hotel Code]:[Hotel / Resort Name ]],2,0))</f>
        <v/>
      </c>
    </row>
    <row r="774" spans="3:3" x14ac:dyDescent="0.25">
      <c r="C774" t="str">
        <f>IF(B774="","",VLOOKUP(B774,RAW[[Hotel Code]:[Hotel / Resort Name ]],2,0))</f>
        <v/>
      </c>
    </row>
    <row r="775" spans="3:3" x14ac:dyDescent="0.25">
      <c r="C775" t="str">
        <f>IF(B775="","",VLOOKUP(B775,RAW[[Hotel Code]:[Hotel / Resort Name ]],2,0))</f>
        <v/>
      </c>
    </row>
    <row r="776" spans="3:3" x14ac:dyDescent="0.25">
      <c r="C776" t="str">
        <f>IF(B776="","",VLOOKUP(B776,RAW[[Hotel Code]:[Hotel / Resort Name ]],2,0))</f>
        <v/>
      </c>
    </row>
    <row r="777" spans="3:3" x14ac:dyDescent="0.25">
      <c r="C777" t="str">
        <f>IF(B777="","",VLOOKUP(B777,RAW[[Hotel Code]:[Hotel / Resort Name ]],2,0))</f>
        <v/>
      </c>
    </row>
    <row r="778" spans="3:3" x14ac:dyDescent="0.25">
      <c r="C778" t="str">
        <f>IF(B778="","",VLOOKUP(B778,RAW[[Hotel Code]:[Hotel / Resort Name ]],2,0))</f>
        <v/>
      </c>
    </row>
    <row r="779" spans="3:3" x14ac:dyDescent="0.25">
      <c r="C779" t="str">
        <f>IF(B779="","",VLOOKUP(B779,RAW[[Hotel Code]:[Hotel / Resort Name ]],2,0))</f>
        <v/>
      </c>
    </row>
    <row r="780" spans="3:3" x14ac:dyDescent="0.25">
      <c r="C780" t="str">
        <f>IF(B780="","",VLOOKUP(B780,RAW[[Hotel Code]:[Hotel / Resort Name ]],2,0))</f>
        <v/>
      </c>
    </row>
    <row r="781" spans="3:3" x14ac:dyDescent="0.25">
      <c r="C781" t="str">
        <f>IF(B781="","",VLOOKUP(B781,RAW[[Hotel Code]:[Hotel / Resort Name ]],2,0))</f>
        <v/>
      </c>
    </row>
    <row r="782" spans="3:3" x14ac:dyDescent="0.25">
      <c r="C782" t="str">
        <f>IF(B782="","",VLOOKUP(B782,RAW[[Hotel Code]:[Hotel / Resort Name ]],2,0))</f>
        <v/>
      </c>
    </row>
    <row r="783" spans="3:3" x14ac:dyDescent="0.25">
      <c r="C783" t="str">
        <f>IF(B783="","",VLOOKUP(B783,RAW[[Hotel Code]:[Hotel / Resort Name ]],2,0))</f>
        <v/>
      </c>
    </row>
    <row r="784" spans="3:3" x14ac:dyDescent="0.25">
      <c r="C784" t="str">
        <f>IF(B784="","",VLOOKUP(B784,RAW[[Hotel Code]:[Hotel / Resort Name ]],2,0))</f>
        <v/>
      </c>
    </row>
    <row r="785" spans="3:3" x14ac:dyDescent="0.25">
      <c r="C785" t="str">
        <f>IF(B785="","",VLOOKUP(B785,RAW[[Hotel Code]:[Hotel / Resort Name ]],2,0))</f>
        <v/>
      </c>
    </row>
    <row r="786" spans="3:3" x14ac:dyDescent="0.25">
      <c r="C786" t="str">
        <f>IF(B786="","",VLOOKUP(B786,RAW[[Hotel Code]:[Hotel / Resort Name ]],2,0))</f>
        <v/>
      </c>
    </row>
    <row r="787" spans="3:3" x14ac:dyDescent="0.25">
      <c r="C787" t="str">
        <f>IF(B787="","",VLOOKUP(B787,RAW[[Hotel Code]:[Hotel / Resort Name ]],2,0))</f>
        <v/>
      </c>
    </row>
    <row r="788" spans="3:3" x14ac:dyDescent="0.25">
      <c r="C788" t="str">
        <f>IF(B788="","",VLOOKUP(B788,RAW[[Hotel Code]:[Hotel / Resort Name ]],2,0))</f>
        <v/>
      </c>
    </row>
    <row r="789" spans="3:3" x14ac:dyDescent="0.25">
      <c r="C789" t="str">
        <f>IF(B789="","",VLOOKUP(B789,RAW[[Hotel Code]:[Hotel / Resort Name ]],2,0))</f>
        <v/>
      </c>
    </row>
    <row r="790" spans="3:3" x14ac:dyDescent="0.25">
      <c r="C790" t="str">
        <f>IF(B790="","",VLOOKUP(B790,RAW[[Hotel Code]:[Hotel / Resort Name ]],2,0))</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8B03A3-48A6-4961-96ED-0064E31243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Summary</vt:lpstr>
      <vt:lpstr>Raw</vt:lpstr>
      <vt:lpstr>Price</vt:lpstr>
      <vt:lpstr>ActivitiesMaster</vt:lpstr>
      <vt:lpstr>Day Wise Exursion</vt:lpstr>
      <vt:lpstr>Sheet2</vt:lpstr>
      <vt:lpstr>City</vt:lpstr>
      <vt:lpstr>Day_Wise_Exursion</vt:lpstr>
      <vt:lpstr>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Navin Mishra</cp:lastModifiedBy>
  <cp:lastPrinted>2025-09-01T16:37:05Z</cp:lastPrinted>
  <dcterms:created xsi:type="dcterms:W3CDTF">2025-06-20T01:21:26Z</dcterms:created>
  <dcterms:modified xsi:type="dcterms:W3CDTF">2026-05-21T12:23:49Z</dcterms:modified>
</cp:coreProperties>
</file>