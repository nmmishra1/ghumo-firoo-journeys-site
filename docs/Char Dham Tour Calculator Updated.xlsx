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ersonal\ghumo-firoo-journeys-site\ghumo-firoo-journeys-site\docs\"/>
    </mc:Choice>
  </mc:AlternateContent>
  <xr:revisionPtr revIDLastSave="0" documentId="13_ncr:1_{B41D6F36-EE77-4536-AE7E-7309BF907A0E}" xr6:coauthVersionLast="47" xr6:coauthVersionMax="47" xr10:uidLastSave="{00000000-0000-0000-0000-000000000000}"/>
  <bookViews>
    <workbookView xWindow="-108" yWindow="-108" windowWidth="23256" windowHeight="12456" activeTab="1" xr2:uid="{F127F08D-8F0B-424F-A0B0-E91BAF7323FE}"/>
  </bookViews>
  <sheets>
    <sheet name="Summary" sheetId="3" r:id="rId1"/>
    <sheet name="Raw" sheetId="1" r:id="rId2"/>
    <sheet name="Price" sheetId="5" r:id="rId3"/>
    <sheet name="Day Wise Exursion" sheetId="7" r:id="rId4"/>
    <sheet name="Sheet1" sheetId="8" r:id="rId5"/>
    <sheet name="Sheet2" sheetId="2" state="hidden" r:id="rId6"/>
  </sheets>
  <definedNames>
    <definedName name="City">Sheet2!$B$2:$B$20</definedName>
    <definedName name="Day_Wise_Exursion">'Day Wise Exursion'!$B$2:$B$32</definedName>
    <definedName name="ExternalData_1" localSheetId="2" hidden="1">Price!$A$1:$B$751</definedName>
    <definedName name="ExternalData_1" localSheetId="5" hidden="1">Sheet2!$G$21:$G$72</definedName>
    <definedName name="ExternalData_2" localSheetId="2" hidden="1">Price!$D$1:$E$751</definedName>
    <definedName name="Header">Sheet2!$J$21:$FJ$21</definedName>
    <definedName name="MYName">IF(INDEX(Sheet2!$J$22:$FJ$28,0,MATCH(Summary!XFD1,Header,0))=0,"",INDEX(Sheet2!$J$22:$FJ$28,0,MATCH(Summary!XFD1,Header,0)))</definedName>
    <definedName name="Type">INDEX(Sheet2!$J$22:$FJ$27,0,MATCH(Summary!$E11,Header,0))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1" l="1"/>
  <c r="C119" i="1" s="1"/>
  <c r="F118" i="1"/>
  <c r="C118" i="1" s="1"/>
  <c r="F117" i="1"/>
  <c r="C117" i="1" s="1"/>
  <c r="L115" i="1" l="1"/>
  <c r="K115" i="1"/>
  <c r="J115" i="1"/>
  <c r="F115" i="1"/>
  <c r="C115" i="1" s="1"/>
  <c r="F116" i="1"/>
  <c r="C116" i="1" s="1"/>
  <c r="L114" i="1"/>
  <c r="K114" i="1"/>
  <c r="J114" i="1"/>
  <c r="F114" i="1"/>
  <c r="C114" i="1" s="1"/>
  <c r="F113" i="1"/>
  <c r="C113" i="1" s="1"/>
  <c r="F112" i="1"/>
  <c r="C112" i="1" s="1"/>
  <c r="F111" i="1" l="1"/>
  <c r="C111" i="1" s="1"/>
  <c r="F110" i="1" l="1"/>
  <c r="C110" i="1" s="1"/>
  <c r="F109" i="1"/>
  <c r="C109" i="1" s="1"/>
  <c r="F108" i="1"/>
  <c r="C108" i="1" s="1"/>
  <c r="L107" i="1"/>
  <c r="K107" i="1"/>
  <c r="J107" i="1"/>
  <c r="F107" i="1"/>
  <c r="C107" i="1" s="1"/>
  <c r="L106" i="1"/>
  <c r="K106" i="1"/>
  <c r="J106" i="1"/>
  <c r="F106" i="1"/>
  <c r="C106" i="1" s="1"/>
  <c r="R25" i="3"/>
  <c r="X41" i="3"/>
  <c r="L105" i="1" l="1"/>
  <c r="K105" i="1"/>
  <c r="J105" i="1"/>
  <c r="F105" i="1"/>
  <c r="C105" i="1" s="1"/>
  <c r="F104" i="1"/>
  <c r="C104" i="1" s="1"/>
  <c r="L103" i="1"/>
  <c r="F103" i="1"/>
  <c r="C103" i="1" s="1"/>
  <c r="L102" i="1"/>
  <c r="F102" i="1"/>
  <c r="C102" i="1" s="1"/>
  <c r="F101" i="1"/>
  <c r="C101" i="1" s="1"/>
  <c r="F100" i="1"/>
  <c r="C100" i="1" s="1"/>
  <c r="F99" i="1"/>
  <c r="C99" i="1" s="1"/>
  <c r="F98" i="1"/>
  <c r="C98" i="1" s="1"/>
  <c r="F97" i="1"/>
  <c r="C97" i="1" s="1"/>
  <c r="L94" i="1"/>
  <c r="L96" i="1"/>
  <c r="K96" i="1"/>
  <c r="K94" i="1"/>
  <c r="J94" i="1"/>
  <c r="J96" i="1"/>
  <c r="F96" i="1"/>
  <c r="C96" i="1" s="1"/>
  <c r="F95" i="1"/>
  <c r="C95" i="1" s="1"/>
  <c r="F94" i="1"/>
  <c r="C94" i="1" s="1"/>
  <c r="L93" i="1"/>
  <c r="K93" i="1"/>
  <c r="J93" i="1"/>
  <c r="F93" i="1"/>
  <c r="C93" i="1" s="1"/>
  <c r="F92" i="1"/>
  <c r="C92" i="1" s="1"/>
  <c r="A34" i="3"/>
  <c r="J91" i="1"/>
  <c r="J90" i="1"/>
  <c r="J89" i="1"/>
  <c r="F91" i="1"/>
  <c r="C91" i="1" s="1"/>
  <c r="F90" i="1"/>
  <c r="C90" i="1" s="1"/>
  <c r="F89" i="1"/>
  <c r="C89" i="1" s="1"/>
  <c r="F88" i="1"/>
  <c r="C88" i="1" s="1"/>
  <c r="F87" i="1"/>
  <c r="C87" i="1" s="1"/>
  <c r="F86" i="1"/>
  <c r="C86" i="1" s="1"/>
  <c r="F85" i="1"/>
  <c r="C85" i="1" s="1"/>
  <c r="AA27" i="3"/>
  <c r="AA28" i="3"/>
  <c r="AA29" i="3"/>
  <c r="AA30" i="3"/>
  <c r="AA31" i="3"/>
  <c r="AA32" i="3"/>
  <c r="AA33" i="3"/>
  <c r="AA34" i="3"/>
  <c r="AA35" i="3"/>
  <c r="F84" i="1" l="1"/>
  <c r="C84" i="1" s="1"/>
  <c r="A35" i="3" l="1"/>
  <c r="B35" i="3"/>
  <c r="F83" i="1"/>
  <c r="C83" i="1" s="1"/>
  <c r="A32" i="3"/>
  <c r="O32" i="3" s="1"/>
  <c r="B32" i="3"/>
  <c r="R32" i="3" s="1"/>
  <c r="J32" i="3"/>
  <c r="L32" i="3"/>
  <c r="M32" i="3"/>
  <c r="S32" i="3"/>
  <c r="P32" i="3" l="1"/>
  <c r="U32" i="3"/>
  <c r="F82" i="1" l="1"/>
  <c r="C82" i="1" s="1"/>
  <c r="F81" i="1"/>
  <c r="C81" i="1" s="1"/>
  <c r="F80" i="1" l="1"/>
  <c r="C80" i="1" s="1"/>
  <c r="F79" i="1"/>
  <c r="C79" i="1" s="1"/>
  <c r="F78" i="1"/>
  <c r="C78" i="1" s="1"/>
  <c r="F77" i="1"/>
  <c r="C77" i="1" s="1"/>
  <c r="F76" i="1"/>
  <c r="C76" i="1" s="1"/>
  <c r="F75" i="1"/>
  <c r="C75" i="1" s="1"/>
  <c r="F74" i="1" l="1"/>
  <c r="C74" i="1" s="1"/>
  <c r="F73" i="1"/>
  <c r="C73" i="1" s="1"/>
  <c r="F72" i="1"/>
  <c r="C72" i="1" s="1"/>
  <c r="F71" i="1"/>
  <c r="C71" i="1" s="1"/>
  <c r="F70" i="1"/>
  <c r="C70" i="1" s="1"/>
  <c r="F69" i="1"/>
  <c r="C69" i="1" s="1"/>
  <c r="S33" i="3" l="1"/>
  <c r="S34" i="3"/>
  <c r="S27" i="3"/>
  <c r="S28" i="3"/>
  <c r="S29" i="3"/>
  <c r="S30" i="3"/>
  <c r="S31" i="3"/>
  <c r="S26" i="3"/>
  <c r="F68" i="1" l="1"/>
  <c r="C68" i="1" s="1"/>
  <c r="F67" i="1"/>
  <c r="C67" i="1" s="1"/>
  <c r="F66" i="1"/>
  <c r="C66" i="1" s="1"/>
  <c r="F65" i="1"/>
  <c r="C65" i="1" s="1"/>
  <c r="F64" i="1"/>
  <c r="C64" i="1" s="1"/>
  <c r="F63" i="1"/>
  <c r="C63" i="1" s="1"/>
  <c r="F62" i="1"/>
  <c r="C62" i="1" s="1"/>
  <c r="F61" i="1"/>
  <c r="C61" i="1" s="1"/>
  <c r="F60" i="1"/>
  <c r="C60" i="1" s="1"/>
  <c r="F59" i="1"/>
  <c r="C59" i="1" s="1"/>
  <c r="T36" i="3"/>
  <c r="L31" i="3"/>
  <c r="L33" i="3"/>
  <c r="L34" i="3"/>
  <c r="L35" i="3"/>
  <c r="L36" i="3"/>
  <c r="L27" i="3"/>
  <c r="L28" i="3"/>
  <c r="L29" i="3"/>
  <c r="L30" i="3"/>
  <c r="L26" i="3"/>
  <c r="F48" i="1" l="1"/>
  <c r="C48" i="1" s="1"/>
  <c r="F49" i="1"/>
  <c r="C49" i="1" s="1"/>
  <c r="F50" i="1"/>
  <c r="C50" i="1" s="1"/>
  <c r="F51" i="1"/>
  <c r="C51" i="1" s="1"/>
  <c r="F52" i="1"/>
  <c r="C52" i="1" s="1"/>
  <c r="F53" i="1"/>
  <c r="C53" i="1" s="1"/>
  <c r="F54" i="1"/>
  <c r="C54" i="1" s="1"/>
  <c r="F55" i="1"/>
  <c r="C55" i="1" s="1"/>
  <c r="F56" i="1"/>
  <c r="C56" i="1" s="1"/>
  <c r="F57" i="1"/>
  <c r="C57" i="1" s="1"/>
  <c r="F58" i="1"/>
  <c r="C58" i="1" s="1"/>
  <c r="F4" i="1"/>
  <c r="C4" i="1" s="1"/>
  <c r="F5" i="1"/>
  <c r="C5" i="1" s="1"/>
  <c r="F6" i="1"/>
  <c r="C6" i="1" s="1"/>
  <c r="F7" i="1"/>
  <c r="C7" i="1" s="1"/>
  <c r="F8" i="1"/>
  <c r="C8" i="1" s="1"/>
  <c r="F9" i="1"/>
  <c r="C9" i="1" s="1"/>
  <c r="F10" i="1"/>
  <c r="C10" i="1" s="1"/>
  <c r="F11" i="1"/>
  <c r="C11" i="1" s="1"/>
  <c r="F12" i="1"/>
  <c r="C12" i="1" s="1"/>
  <c r="F13" i="1"/>
  <c r="C13" i="1" s="1"/>
  <c r="F14" i="1"/>
  <c r="C14" i="1" s="1"/>
  <c r="F15" i="1"/>
  <c r="C15" i="1" s="1"/>
  <c r="F16" i="1"/>
  <c r="C16" i="1" s="1"/>
  <c r="F17" i="1"/>
  <c r="C17" i="1" s="1"/>
  <c r="F18" i="1"/>
  <c r="C18" i="1" s="1"/>
  <c r="F19" i="1"/>
  <c r="C19" i="1" s="1"/>
  <c r="F20" i="1"/>
  <c r="C20" i="1" s="1"/>
  <c r="F21" i="1"/>
  <c r="C21" i="1" s="1"/>
  <c r="F22" i="1"/>
  <c r="C22" i="1" s="1"/>
  <c r="F23" i="1"/>
  <c r="C23" i="1" s="1"/>
  <c r="F24" i="1"/>
  <c r="C24" i="1" s="1"/>
  <c r="F25" i="1"/>
  <c r="C25" i="1" s="1"/>
  <c r="F26" i="1"/>
  <c r="C26" i="1" s="1"/>
  <c r="F27" i="1"/>
  <c r="C27" i="1" s="1"/>
  <c r="F28" i="1"/>
  <c r="C28" i="1" s="1"/>
  <c r="F29" i="1"/>
  <c r="C29" i="1" s="1"/>
  <c r="F30" i="1"/>
  <c r="C30" i="1" s="1"/>
  <c r="F31" i="1"/>
  <c r="C31" i="1" s="1"/>
  <c r="F32" i="1"/>
  <c r="C32" i="1" s="1"/>
  <c r="F33" i="1"/>
  <c r="C33" i="1" s="1"/>
  <c r="F34" i="1"/>
  <c r="C34" i="1" s="1"/>
  <c r="F35" i="1"/>
  <c r="C35" i="1" s="1"/>
  <c r="F36" i="1"/>
  <c r="C36" i="1" s="1"/>
  <c r="F37" i="1"/>
  <c r="C37" i="1" s="1"/>
  <c r="F38" i="1"/>
  <c r="C38" i="1" s="1"/>
  <c r="F39" i="1"/>
  <c r="C39" i="1" s="1"/>
  <c r="F40" i="1"/>
  <c r="C40" i="1" s="1"/>
  <c r="F41" i="1"/>
  <c r="C41" i="1" s="1"/>
  <c r="F42" i="1"/>
  <c r="C42" i="1" s="1"/>
  <c r="F43" i="1"/>
  <c r="C43" i="1" s="1"/>
  <c r="F44" i="1"/>
  <c r="C44" i="1" s="1"/>
  <c r="F45" i="1"/>
  <c r="C45" i="1" s="1"/>
  <c r="F46" i="1"/>
  <c r="C46" i="1" s="1"/>
  <c r="F47" i="1"/>
  <c r="C47" i="1" s="1"/>
  <c r="F3" i="1"/>
  <c r="D24" i="3"/>
  <c r="J32" i="2" l="1" a="1"/>
  <c r="J32" i="2" s="1"/>
  <c r="AC22" i="2" a="1"/>
  <c r="AC22" i="2" s="1"/>
  <c r="A529" i="2"/>
  <c r="A530" i="2"/>
  <c r="A531" i="2"/>
  <c r="BY33" i="2" l="1" a="1"/>
  <c r="BY33" i="2" s="1"/>
  <c r="BU33" i="2" a="1"/>
  <c r="BU33" i="2" s="1"/>
  <c r="BQ33" i="2" a="1"/>
  <c r="BQ33" i="2" s="1"/>
  <c r="BX33" i="2" a="1"/>
  <c r="BX33" i="2" s="1"/>
  <c r="BT33" i="2" a="1"/>
  <c r="BT33" i="2" s="1"/>
  <c r="BP33" i="2" a="1"/>
  <c r="BP33" i="2" s="1"/>
  <c r="BW33" i="2" a="1"/>
  <c r="BW33" i="2" s="1"/>
  <c r="BS33" i="2" a="1"/>
  <c r="BS33" i="2" s="1"/>
  <c r="BO33" i="2" a="1"/>
  <c r="BO33" i="2" s="1"/>
  <c r="BZ33" i="2" a="1"/>
  <c r="BZ33" i="2" s="1"/>
  <c r="BV33" i="2" a="1"/>
  <c r="BV33" i="2" s="1"/>
  <c r="BR33" i="2" a="1"/>
  <c r="BR33" i="2" s="1"/>
  <c r="BN33" i="2" a="1"/>
  <c r="BN33" i="2" s="1"/>
  <c r="BI33" i="2" a="1"/>
  <c r="BI33" i="2" s="1"/>
  <c r="BK33" i="2" a="1"/>
  <c r="BK33" i="2" s="1"/>
  <c r="BM33" i="2" a="1"/>
  <c r="BM33" i="2" s="1"/>
  <c r="BL33" i="2" a="1"/>
  <c r="BL33" i="2" s="1"/>
  <c r="BJ33" i="2" a="1"/>
  <c r="BJ33" i="2" s="1"/>
  <c r="A27" i="3"/>
  <c r="A28" i="3"/>
  <c r="A29" i="3"/>
  <c r="A30" i="3"/>
  <c r="A31" i="3"/>
  <c r="A33" i="3"/>
  <c r="A36" i="3"/>
  <c r="C3" i="1"/>
  <c r="BB33" i="2" s="1" a="1"/>
  <c r="BB33" i="2" s="1"/>
  <c r="B22" i="2" a="1"/>
  <c r="K18" i="3"/>
  <c r="G26" i="3"/>
  <c r="AC39" i="3"/>
  <c r="AB39" i="3"/>
  <c r="BH33" i="2" l="1" a="1"/>
  <c r="BH33" i="2" s="1"/>
  <c r="BF33" i="2" a="1"/>
  <c r="BF33" i="2" s="1"/>
  <c r="BG33" i="2" a="1"/>
  <c r="BG33" i="2" s="1"/>
  <c r="AU33" i="2" a="1"/>
  <c r="AU33" i="2" s="1"/>
  <c r="AY33" i="2" a="1"/>
  <c r="AY33" i="2" s="1"/>
  <c r="BC33" i="2" a="1"/>
  <c r="BC33" i="2" s="1"/>
  <c r="AV33" i="2" a="1"/>
  <c r="AV33" i="2" s="1"/>
  <c r="AZ33" i="2" a="1"/>
  <c r="AZ33" i="2" s="1"/>
  <c r="BD33" i="2" a="1"/>
  <c r="BD33" i="2" s="1"/>
  <c r="AW33" i="2" a="1"/>
  <c r="AW33" i="2" s="1"/>
  <c r="BA33" i="2" a="1"/>
  <c r="BA33" i="2" s="1"/>
  <c r="BE33" i="2" a="1"/>
  <c r="BE33" i="2" s="1"/>
  <c r="AT33" i="2" a="1"/>
  <c r="AT33" i="2" s="1"/>
  <c r="AX33" i="2" a="1"/>
  <c r="AX33" i="2" s="1"/>
  <c r="A128" i="2"/>
  <c r="A132" i="2"/>
  <c r="A136" i="2"/>
  <c r="A140" i="2"/>
  <c r="A144" i="2"/>
  <c r="A148" i="2"/>
  <c r="A152" i="2"/>
  <c r="A156" i="2"/>
  <c r="A160" i="2"/>
  <c r="A164" i="2"/>
  <c r="A168" i="2"/>
  <c r="A172" i="2"/>
  <c r="A176" i="2"/>
  <c r="A180" i="2"/>
  <c r="A184" i="2"/>
  <c r="A188" i="2"/>
  <c r="A192" i="2"/>
  <c r="A196" i="2"/>
  <c r="A200" i="2"/>
  <c r="A204" i="2"/>
  <c r="A208" i="2"/>
  <c r="A212" i="2"/>
  <c r="A216" i="2"/>
  <c r="A220" i="2"/>
  <c r="A224" i="2"/>
  <c r="A228" i="2"/>
  <c r="A232" i="2"/>
  <c r="A236" i="2"/>
  <c r="A240" i="2"/>
  <c r="A244" i="2"/>
  <c r="A248" i="2"/>
  <c r="A252" i="2"/>
  <c r="A256" i="2"/>
  <c r="A260" i="2"/>
  <c r="A264" i="2"/>
  <c r="A268" i="2"/>
  <c r="A272" i="2"/>
  <c r="A276" i="2"/>
  <c r="A280" i="2"/>
  <c r="A284" i="2"/>
  <c r="A288" i="2"/>
  <c r="A292" i="2"/>
  <c r="A296" i="2"/>
  <c r="A300" i="2"/>
  <c r="A304" i="2"/>
  <c r="A308" i="2"/>
  <c r="A312" i="2"/>
  <c r="A316" i="2"/>
  <c r="A320" i="2"/>
  <c r="A324" i="2"/>
  <c r="A328" i="2"/>
  <c r="A332" i="2"/>
  <c r="A336" i="2"/>
  <c r="A340" i="2"/>
  <c r="A344" i="2"/>
  <c r="A348" i="2"/>
  <c r="A352" i="2"/>
  <c r="A356" i="2"/>
  <c r="A360" i="2"/>
  <c r="A364" i="2"/>
  <c r="A368" i="2"/>
  <c r="A372" i="2"/>
  <c r="A376" i="2"/>
  <c r="A380" i="2"/>
  <c r="A384" i="2"/>
  <c r="A388" i="2"/>
  <c r="A392" i="2"/>
  <c r="A396" i="2"/>
  <c r="A400" i="2"/>
  <c r="A404" i="2"/>
  <c r="A408" i="2"/>
  <c r="A412" i="2"/>
  <c r="A416" i="2"/>
  <c r="A420" i="2"/>
  <c r="A424" i="2"/>
  <c r="A428" i="2"/>
  <c r="A432" i="2"/>
  <c r="A436" i="2"/>
  <c r="A440" i="2"/>
  <c r="A444" i="2"/>
  <c r="A448" i="2"/>
  <c r="A452" i="2"/>
  <c r="A456" i="2"/>
  <c r="A460" i="2"/>
  <c r="A464" i="2"/>
  <c r="A130" i="2"/>
  <c r="A135" i="2"/>
  <c r="A141" i="2"/>
  <c r="A146" i="2"/>
  <c r="A151" i="2"/>
  <c r="A157" i="2"/>
  <c r="A162" i="2"/>
  <c r="A167" i="2"/>
  <c r="A173" i="2"/>
  <c r="A178" i="2"/>
  <c r="A183" i="2"/>
  <c r="A189" i="2"/>
  <c r="A194" i="2"/>
  <c r="A199" i="2"/>
  <c r="A205" i="2"/>
  <c r="A210" i="2"/>
  <c r="A215" i="2"/>
  <c r="A221" i="2"/>
  <c r="A226" i="2"/>
  <c r="A231" i="2"/>
  <c r="A237" i="2"/>
  <c r="A242" i="2"/>
  <c r="A247" i="2"/>
  <c r="A253" i="2"/>
  <c r="A258" i="2"/>
  <c r="A263" i="2"/>
  <c r="A269" i="2"/>
  <c r="A274" i="2"/>
  <c r="A279" i="2"/>
  <c r="A285" i="2"/>
  <c r="A290" i="2"/>
  <c r="A295" i="2"/>
  <c r="A301" i="2"/>
  <c r="A306" i="2"/>
  <c r="A311" i="2"/>
  <c r="A317" i="2"/>
  <c r="A322" i="2"/>
  <c r="A327" i="2"/>
  <c r="A333" i="2"/>
  <c r="A338" i="2"/>
  <c r="A343" i="2"/>
  <c r="A349" i="2"/>
  <c r="A354" i="2"/>
  <c r="A359" i="2"/>
  <c r="A365" i="2"/>
  <c r="A370" i="2"/>
  <c r="A375" i="2"/>
  <c r="A381" i="2"/>
  <c r="A386" i="2"/>
  <c r="A391" i="2"/>
  <c r="A397" i="2"/>
  <c r="A402" i="2"/>
  <c r="A407" i="2"/>
  <c r="A413" i="2"/>
  <c r="A418" i="2"/>
  <c r="A423" i="2"/>
  <c r="A429" i="2"/>
  <c r="A434" i="2"/>
  <c r="A439" i="2"/>
  <c r="A445" i="2"/>
  <c r="A450" i="2"/>
  <c r="A455" i="2"/>
  <c r="A461" i="2"/>
  <c r="A466" i="2"/>
  <c r="A470" i="2"/>
  <c r="A474" i="2"/>
  <c r="A478" i="2"/>
  <c r="A482" i="2"/>
  <c r="A486" i="2"/>
  <c r="A490" i="2"/>
  <c r="A494" i="2"/>
  <c r="A498" i="2"/>
  <c r="A502" i="2"/>
  <c r="A506" i="2"/>
  <c r="A510" i="2"/>
  <c r="A514" i="2"/>
  <c r="A518" i="2"/>
  <c r="A522" i="2"/>
  <c r="A526" i="2"/>
  <c r="A519" i="2"/>
  <c r="A126" i="2"/>
  <c r="A131" i="2"/>
  <c r="A137" i="2"/>
  <c r="A142" i="2"/>
  <c r="A147" i="2"/>
  <c r="A153" i="2"/>
  <c r="A158" i="2"/>
  <c r="A163" i="2"/>
  <c r="A169" i="2"/>
  <c r="A174" i="2"/>
  <c r="A179" i="2"/>
  <c r="A185" i="2"/>
  <c r="A190" i="2"/>
  <c r="A195" i="2"/>
  <c r="A201" i="2"/>
  <c r="A206" i="2"/>
  <c r="A211" i="2"/>
  <c r="A217" i="2"/>
  <c r="A222" i="2"/>
  <c r="A227" i="2"/>
  <c r="A233" i="2"/>
  <c r="A238" i="2"/>
  <c r="A243" i="2"/>
  <c r="A249" i="2"/>
  <c r="A254" i="2"/>
  <c r="A259" i="2"/>
  <c r="A265" i="2"/>
  <c r="A270" i="2"/>
  <c r="A275" i="2"/>
  <c r="A281" i="2"/>
  <c r="A286" i="2"/>
  <c r="A291" i="2"/>
  <c r="A297" i="2"/>
  <c r="A302" i="2"/>
  <c r="A307" i="2"/>
  <c r="A313" i="2"/>
  <c r="A318" i="2"/>
  <c r="A323" i="2"/>
  <c r="A329" i="2"/>
  <c r="A334" i="2"/>
  <c r="A339" i="2"/>
  <c r="A345" i="2"/>
  <c r="A350" i="2"/>
  <c r="A355" i="2"/>
  <c r="A361" i="2"/>
  <c r="A366" i="2"/>
  <c r="A371" i="2"/>
  <c r="A377" i="2"/>
  <c r="A382" i="2"/>
  <c r="A387" i="2"/>
  <c r="A393" i="2"/>
  <c r="A398" i="2"/>
  <c r="A403" i="2"/>
  <c r="A409" i="2"/>
  <c r="A414" i="2"/>
  <c r="A419" i="2"/>
  <c r="A425" i="2"/>
  <c r="A430" i="2"/>
  <c r="A435" i="2"/>
  <c r="A441" i="2"/>
  <c r="A446" i="2"/>
  <c r="A451" i="2"/>
  <c r="A457" i="2"/>
  <c r="A462" i="2"/>
  <c r="A467" i="2"/>
  <c r="A471" i="2"/>
  <c r="A475" i="2"/>
  <c r="A479" i="2"/>
  <c r="A483" i="2"/>
  <c r="A487" i="2"/>
  <c r="A491" i="2"/>
  <c r="A495" i="2"/>
  <c r="A499" i="2"/>
  <c r="A503" i="2"/>
  <c r="A507" i="2"/>
  <c r="A511" i="2"/>
  <c r="A515" i="2"/>
  <c r="A523" i="2"/>
  <c r="A527" i="2"/>
  <c r="A127" i="2"/>
  <c r="A133" i="2"/>
  <c r="A138" i="2"/>
  <c r="A143" i="2"/>
  <c r="A149" i="2"/>
  <c r="A154" i="2"/>
  <c r="A159" i="2"/>
  <c r="A165" i="2"/>
  <c r="A170" i="2"/>
  <c r="A175" i="2"/>
  <c r="A181" i="2"/>
  <c r="A186" i="2"/>
  <c r="A191" i="2"/>
  <c r="A197" i="2"/>
  <c r="A202" i="2"/>
  <c r="A207" i="2"/>
  <c r="A213" i="2"/>
  <c r="A218" i="2"/>
  <c r="A223" i="2"/>
  <c r="A229" i="2"/>
  <c r="A234" i="2"/>
  <c r="A239" i="2"/>
  <c r="A245" i="2"/>
  <c r="A250" i="2"/>
  <c r="A255" i="2"/>
  <c r="A261" i="2"/>
  <c r="A266" i="2"/>
  <c r="A271" i="2"/>
  <c r="A277" i="2"/>
  <c r="A282" i="2"/>
  <c r="A287" i="2"/>
  <c r="A293" i="2"/>
  <c r="A298" i="2"/>
  <c r="A303" i="2"/>
  <c r="A309" i="2"/>
  <c r="A314" i="2"/>
  <c r="A319" i="2"/>
  <c r="A325" i="2"/>
  <c r="A330" i="2"/>
  <c r="A335" i="2"/>
  <c r="A341" i="2"/>
  <c r="A346" i="2"/>
  <c r="A351" i="2"/>
  <c r="A357" i="2"/>
  <c r="A362" i="2"/>
  <c r="A367" i="2"/>
  <c r="A373" i="2"/>
  <c r="A378" i="2"/>
  <c r="A383" i="2"/>
  <c r="A389" i="2"/>
  <c r="A394" i="2"/>
  <c r="A399" i="2"/>
  <c r="A405" i="2"/>
  <c r="A410" i="2"/>
  <c r="A415" i="2"/>
  <c r="A421" i="2"/>
  <c r="A426" i="2"/>
  <c r="A431" i="2"/>
  <c r="A437" i="2"/>
  <c r="A442" i="2"/>
  <c r="A447" i="2"/>
  <c r="A453" i="2"/>
  <c r="A458" i="2"/>
  <c r="A463" i="2"/>
  <c r="A468" i="2"/>
  <c r="A472" i="2"/>
  <c r="A476" i="2"/>
  <c r="A480" i="2"/>
  <c r="A484" i="2"/>
  <c r="A488" i="2"/>
  <c r="A492" i="2"/>
  <c r="A496" i="2"/>
  <c r="A500" i="2"/>
  <c r="A504" i="2"/>
  <c r="A508" i="2"/>
  <c r="A512" i="2"/>
  <c r="A516" i="2"/>
  <c r="A520" i="2"/>
  <c r="A524" i="2"/>
  <c r="A528" i="2"/>
  <c r="A129" i="2"/>
  <c r="A134" i="2"/>
  <c r="A139" i="2"/>
  <c r="A145" i="2"/>
  <c r="A150" i="2"/>
  <c r="A155" i="2"/>
  <c r="A161" i="2"/>
  <c r="A166" i="2"/>
  <c r="A171" i="2"/>
  <c r="A177" i="2"/>
  <c r="A182" i="2"/>
  <c r="A187" i="2"/>
  <c r="A193" i="2"/>
  <c r="A198" i="2"/>
  <c r="A203" i="2"/>
  <c r="A209" i="2"/>
  <c r="A214" i="2"/>
  <c r="A219" i="2"/>
  <c r="A225" i="2"/>
  <c r="A230" i="2"/>
  <c r="A235" i="2"/>
  <c r="A241" i="2"/>
  <c r="A246" i="2"/>
  <c r="A251" i="2"/>
  <c r="A257" i="2"/>
  <c r="A262" i="2"/>
  <c r="A267" i="2"/>
  <c r="A273" i="2"/>
  <c r="A278" i="2"/>
  <c r="A283" i="2"/>
  <c r="A289" i="2"/>
  <c r="A294" i="2"/>
  <c r="A299" i="2"/>
  <c r="A305" i="2"/>
  <c r="A310" i="2"/>
  <c r="A315" i="2"/>
  <c r="A321" i="2"/>
  <c r="A326" i="2"/>
  <c r="A331" i="2"/>
  <c r="A337" i="2"/>
  <c r="A342" i="2"/>
  <c r="A347" i="2"/>
  <c r="A353" i="2"/>
  <c r="A358" i="2"/>
  <c r="A363" i="2"/>
  <c r="A369" i="2"/>
  <c r="A374" i="2"/>
  <c r="A379" i="2"/>
  <c r="A385" i="2"/>
  <c r="A390" i="2"/>
  <c r="A395" i="2"/>
  <c r="A401" i="2"/>
  <c r="A406" i="2"/>
  <c r="A411" i="2"/>
  <c r="A417" i="2"/>
  <c r="A422" i="2"/>
  <c r="A427" i="2"/>
  <c r="A433" i="2"/>
  <c r="A438" i="2"/>
  <c r="A443" i="2"/>
  <c r="A449" i="2"/>
  <c r="A454" i="2"/>
  <c r="A459" i="2"/>
  <c r="A465" i="2"/>
  <c r="A469" i="2"/>
  <c r="A473" i="2"/>
  <c r="A477" i="2"/>
  <c r="A481" i="2"/>
  <c r="A485" i="2"/>
  <c r="A489" i="2"/>
  <c r="A493" i="2"/>
  <c r="A497" i="2"/>
  <c r="A501" i="2"/>
  <c r="A505" i="2"/>
  <c r="A509" i="2"/>
  <c r="A513" i="2"/>
  <c r="A517" i="2"/>
  <c r="A521" i="2"/>
  <c r="A525" i="2"/>
  <c r="Y33" i="2" a="1"/>
  <c r="Y33" i="2" s="1"/>
  <c r="R33" i="2" a="1"/>
  <c r="R33" i="2" s="1"/>
  <c r="Z33" i="2" a="1"/>
  <c r="Z33" i="2" s="1"/>
  <c r="AG33" i="2" a="1"/>
  <c r="AG33" i="2" s="1"/>
  <c r="AO33" i="2" a="1"/>
  <c r="AO33" i="2" s="1"/>
  <c r="K33" i="2" a="1"/>
  <c r="K33" i="2" s="1"/>
  <c r="S33" i="2" a="1"/>
  <c r="S33" i="2" s="1"/>
  <c r="AH33" i="2" a="1"/>
  <c r="AH33" i="2" s="1"/>
  <c r="AP33" i="2" a="1"/>
  <c r="AP33" i="2" s="1"/>
  <c r="L33" i="2" a="1"/>
  <c r="L33" i="2" s="1"/>
  <c r="T33" i="2" a="1"/>
  <c r="T33" i="2" s="1"/>
  <c r="AA33" i="2" a="1"/>
  <c r="AA33" i="2" s="1"/>
  <c r="AI33" i="2" a="1"/>
  <c r="AI33" i="2" s="1"/>
  <c r="AQ33" i="2" a="1"/>
  <c r="AQ33" i="2" s="1"/>
  <c r="M33" i="2" a="1"/>
  <c r="M33" i="2" s="1"/>
  <c r="U33" i="2" a="1"/>
  <c r="U33" i="2" s="1"/>
  <c r="AB33" i="2" a="1"/>
  <c r="AB33" i="2" s="1"/>
  <c r="AJ33" i="2" a="1"/>
  <c r="AJ33" i="2" s="1"/>
  <c r="AR33" i="2" a="1"/>
  <c r="AR33" i="2" s="1"/>
  <c r="Q33" i="2" a="1"/>
  <c r="Q33" i="2" s="1"/>
  <c r="N33" i="2" a="1"/>
  <c r="N33" i="2" s="1"/>
  <c r="V33" i="2" a="1"/>
  <c r="V33" i="2" s="1"/>
  <c r="AC33" i="2" a="1"/>
  <c r="AC33" i="2" s="1"/>
  <c r="AK33" i="2" a="1"/>
  <c r="AK33" i="2" s="1"/>
  <c r="AS33" i="2" a="1"/>
  <c r="AS33" i="2" s="1"/>
  <c r="O33" i="2" a="1"/>
  <c r="O33" i="2" s="1"/>
  <c r="W33" i="2" a="1"/>
  <c r="W33" i="2" s="1"/>
  <c r="AL33" i="2" a="1"/>
  <c r="AL33" i="2" s="1"/>
  <c r="AN33" i="2" a="1"/>
  <c r="AN33" i="2" s="1"/>
  <c r="AD33" i="2" a="1"/>
  <c r="AD33" i="2" s="1"/>
  <c r="AF33" i="2" a="1"/>
  <c r="AF33" i="2" s="1"/>
  <c r="P33" i="2" a="1"/>
  <c r="P33" i="2" s="1"/>
  <c r="X33" i="2" a="1"/>
  <c r="X33" i="2" s="1"/>
  <c r="AE33" i="2" a="1"/>
  <c r="AE33" i="2" s="1"/>
  <c r="AM33" i="2" a="1"/>
  <c r="AM33" i="2" s="1"/>
  <c r="J33" i="2" a="1"/>
  <c r="J33" i="2" s="1"/>
  <c r="B22" i="2"/>
  <c r="C22" i="2" s="1"/>
  <c r="C108" i="2"/>
  <c r="C112" i="2"/>
  <c r="C116" i="2"/>
  <c r="C120" i="2"/>
  <c r="C124" i="2"/>
  <c r="A108" i="2"/>
  <c r="A112" i="2"/>
  <c r="A116" i="2"/>
  <c r="A120" i="2"/>
  <c r="A124" i="2"/>
  <c r="C114" i="2"/>
  <c r="A114" i="2"/>
  <c r="C111" i="2"/>
  <c r="C119" i="2"/>
  <c r="C123" i="2"/>
  <c r="C109" i="2"/>
  <c r="C113" i="2"/>
  <c r="C117" i="2"/>
  <c r="C121" i="2"/>
  <c r="A109" i="2"/>
  <c r="A113" i="2"/>
  <c r="A117" i="2"/>
  <c r="A121" i="2"/>
  <c r="C110" i="2"/>
  <c r="C118" i="2"/>
  <c r="C122" i="2"/>
  <c r="A110" i="2"/>
  <c r="A118" i="2"/>
  <c r="A122" i="2"/>
  <c r="C115" i="2"/>
  <c r="A107" i="2"/>
  <c r="A111" i="2"/>
  <c r="A115" i="2"/>
  <c r="A119" i="2"/>
  <c r="A123" i="2"/>
  <c r="A22" i="2"/>
  <c r="A103" i="2"/>
  <c r="A99" i="2"/>
  <c r="A95" i="2"/>
  <c r="A91" i="2"/>
  <c r="A87" i="2"/>
  <c r="A83" i="2"/>
  <c r="A79" i="2"/>
  <c r="A75" i="2"/>
  <c r="A71" i="2"/>
  <c r="A67" i="2"/>
  <c r="A63" i="2"/>
  <c r="A59" i="2"/>
  <c r="A55" i="2"/>
  <c r="A51" i="2"/>
  <c r="A47" i="2"/>
  <c r="A43" i="2"/>
  <c r="A39" i="2"/>
  <c r="A35" i="2"/>
  <c r="A31" i="2"/>
  <c r="A27" i="2"/>
  <c r="A23" i="2"/>
  <c r="A106" i="2"/>
  <c r="D106" i="2" s="1"/>
  <c r="A102" i="2"/>
  <c r="A98" i="2"/>
  <c r="A94" i="2"/>
  <c r="A90" i="2"/>
  <c r="A86" i="2"/>
  <c r="A82" i="2"/>
  <c r="A78" i="2"/>
  <c r="A74" i="2"/>
  <c r="A70" i="2"/>
  <c r="A66" i="2"/>
  <c r="A62" i="2"/>
  <c r="A58" i="2"/>
  <c r="A54" i="2"/>
  <c r="A50" i="2"/>
  <c r="A46" i="2"/>
  <c r="A42" i="2"/>
  <c r="A38" i="2"/>
  <c r="A34" i="2"/>
  <c r="A30" i="2"/>
  <c r="A26" i="2"/>
  <c r="A105" i="2"/>
  <c r="A101" i="2"/>
  <c r="A97" i="2"/>
  <c r="A93" i="2"/>
  <c r="A89" i="2"/>
  <c r="A85" i="2"/>
  <c r="A81" i="2"/>
  <c r="A77" i="2"/>
  <c r="A73" i="2"/>
  <c r="A69" i="2"/>
  <c r="A65" i="2"/>
  <c r="A61" i="2"/>
  <c r="A57" i="2"/>
  <c r="A53" i="2"/>
  <c r="A49" i="2"/>
  <c r="A45" i="2"/>
  <c r="A41" i="2"/>
  <c r="A37" i="2"/>
  <c r="A33" i="2"/>
  <c r="A29" i="2"/>
  <c r="A25" i="2"/>
  <c r="A104" i="2"/>
  <c r="A100" i="2"/>
  <c r="A96" i="2"/>
  <c r="A92" i="2"/>
  <c r="A88" i="2"/>
  <c r="A84" i="2"/>
  <c r="A80" i="2"/>
  <c r="A76" i="2"/>
  <c r="A72" i="2"/>
  <c r="A68" i="2"/>
  <c r="A64" i="2"/>
  <c r="A60" i="2"/>
  <c r="A56" i="2"/>
  <c r="A52" i="2"/>
  <c r="A48" i="2"/>
  <c r="A44" i="2"/>
  <c r="A40" i="2"/>
  <c r="A36" i="2"/>
  <c r="A32" i="2"/>
  <c r="A28" i="2"/>
  <c r="A24" i="2"/>
  <c r="C94" i="2"/>
  <c r="C62" i="2"/>
  <c r="C30" i="2"/>
  <c r="C101" i="2"/>
  <c r="C93" i="2"/>
  <c r="C85" i="2"/>
  <c r="C77" i="2"/>
  <c r="C69" i="2"/>
  <c r="C61" i="2"/>
  <c r="C53" i="2"/>
  <c r="C45" i="2"/>
  <c r="C37" i="2"/>
  <c r="C29" i="2"/>
  <c r="C100" i="2"/>
  <c r="C92" i="2"/>
  <c r="C84" i="2"/>
  <c r="C76" i="2"/>
  <c r="C68" i="2"/>
  <c r="C60" i="2"/>
  <c r="C52" i="2"/>
  <c r="C44" i="2"/>
  <c r="C36" i="2"/>
  <c r="C28" i="2"/>
  <c r="C99" i="2"/>
  <c r="C75" i="2"/>
  <c r="C51" i="2"/>
  <c r="C35" i="2"/>
  <c r="C82" i="2"/>
  <c r="C66" i="2"/>
  <c r="C26" i="2"/>
  <c r="C105" i="2"/>
  <c r="C97" i="2"/>
  <c r="C89" i="2"/>
  <c r="C81" i="2"/>
  <c r="C73" i="2"/>
  <c r="C65" i="2"/>
  <c r="C57" i="2"/>
  <c r="C49" i="2"/>
  <c r="C41" i="2"/>
  <c r="C33" i="2"/>
  <c r="C25" i="2"/>
  <c r="C86" i="2"/>
  <c r="C70" i="2"/>
  <c r="C46" i="2"/>
  <c r="C107" i="2"/>
  <c r="C83" i="2"/>
  <c r="C59" i="2"/>
  <c r="C43" i="2"/>
  <c r="C106" i="2"/>
  <c r="C98" i="2"/>
  <c r="C74" i="2"/>
  <c r="C34" i="2"/>
  <c r="C104" i="2"/>
  <c r="C96" i="2"/>
  <c r="C88" i="2"/>
  <c r="C80" i="2"/>
  <c r="C72" i="2"/>
  <c r="C64" i="2"/>
  <c r="C56" i="2"/>
  <c r="C48" i="2"/>
  <c r="C40" i="2"/>
  <c r="C32" i="2"/>
  <c r="C24" i="2"/>
  <c r="C102" i="2"/>
  <c r="C78" i="2"/>
  <c r="C54" i="2"/>
  <c r="C38" i="2"/>
  <c r="C91" i="2"/>
  <c r="C67" i="2"/>
  <c r="C27" i="2"/>
  <c r="C90" i="2"/>
  <c r="C58" i="2"/>
  <c r="C50" i="2"/>
  <c r="C42" i="2"/>
  <c r="C103" i="2"/>
  <c r="C95" i="2"/>
  <c r="C87" i="2"/>
  <c r="C79" i="2"/>
  <c r="C71" i="2"/>
  <c r="C63" i="2"/>
  <c r="C55" i="2"/>
  <c r="C47" i="2"/>
  <c r="C39" i="2"/>
  <c r="C31" i="2"/>
  <c r="C23" i="2"/>
  <c r="D48" i="3"/>
  <c r="B29" i="3"/>
  <c r="R29" i="3" s="1"/>
  <c r="U29" i="3" s="1"/>
  <c r="J29" i="3"/>
  <c r="M29" i="3"/>
  <c r="O29" i="3"/>
  <c r="P29" i="3"/>
  <c r="B30" i="3"/>
  <c r="R30" i="3" s="1"/>
  <c r="U30" i="3" s="1"/>
  <c r="J30" i="3"/>
  <c r="M30" i="3"/>
  <c r="O30" i="3"/>
  <c r="P30" i="3"/>
  <c r="B31" i="3"/>
  <c r="R31" i="3" s="1"/>
  <c r="U31" i="3" s="1"/>
  <c r="J31" i="3"/>
  <c r="M31" i="3"/>
  <c r="O31" i="3"/>
  <c r="P31" i="3"/>
  <c r="B33" i="3"/>
  <c r="R33" i="3" s="1"/>
  <c r="J33" i="3"/>
  <c r="M33" i="3"/>
  <c r="O33" i="3"/>
  <c r="P33" i="3"/>
  <c r="B34" i="3"/>
  <c r="R34" i="3" s="1"/>
  <c r="U34" i="3" s="1"/>
  <c r="J34" i="3"/>
  <c r="M34" i="3"/>
  <c r="O34" i="3"/>
  <c r="P34" i="3"/>
  <c r="R35" i="3"/>
  <c r="J35" i="3"/>
  <c r="M35" i="3"/>
  <c r="N35" i="3"/>
  <c r="O35" i="3"/>
  <c r="P35" i="3"/>
  <c r="B36" i="3"/>
  <c r="R36" i="3" s="1"/>
  <c r="G36" i="3"/>
  <c r="Q36" i="3" s="1"/>
  <c r="S36" i="3"/>
  <c r="V36" i="3" s="1"/>
  <c r="Y36" i="3" s="1"/>
  <c r="J36" i="3"/>
  <c r="M36" i="3"/>
  <c r="N36" i="3"/>
  <c r="O36" i="3"/>
  <c r="P36" i="3"/>
  <c r="AA26" i="3"/>
  <c r="AA37" i="3" s="1"/>
  <c r="Z37" i="3"/>
  <c r="Z38" i="3" s="1"/>
  <c r="B27" i="3"/>
  <c r="B28" i="3"/>
  <c r="B26" i="3"/>
  <c r="A26" i="3"/>
  <c r="D98" i="3"/>
  <c r="D94" i="3"/>
  <c r="D90" i="3"/>
  <c r="D86" i="3"/>
  <c r="D82" i="3"/>
  <c r="D78" i="3"/>
  <c r="D74" i="3"/>
  <c r="D70" i="3"/>
  <c r="D66" i="3"/>
  <c r="D62" i="3"/>
  <c r="F123" i="2" l="1"/>
  <c r="E123" i="2"/>
  <c r="D123" i="2"/>
  <c r="E121" i="2"/>
  <c r="F121" i="2"/>
  <c r="D121" i="2"/>
  <c r="E122" i="2"/>
  <c r="F122" i="2"/>
  <c r="D122" i="2"/>
  <c r="E124" i="2"/>
  <c r="D124" i="2"/>
  <c r="F124" i="2"/>
  <c r="D120" i="2"/>
  <c r="E120" i="2"/>
  <c r="F120" i="2"/>
  <c r="F119" i="2"/>
  <c r="D119" i="2"/>
  <c r="E119" i="2"/>
  <c r="F117" i="2"/>
  <c r="E117" i="2"/>
  <c r="D117" i="2"/>
  <c r="E118" i="2"/>
  <c r="D118" i="2"/>
  <c r="F118" i="2"/>
  <c r="D116" i="2"/>
  <c r="E116" i="2"/>
  <c r="F116" i="2"/>
  <c r="F114" i="2"/>
  <c r="D114" i="2"/>
  <c r="E114" i="2"/>
  <c r="D112" i="2"/>
  <c r="E112" i="2"/>
  <c r="F112" i="2"/>
  <c r="E111" i="2"/>
  <c r="F111" i="2"/>
  <c r="D111" i="2"/>
  <c r="E115" i="2"/>
  <c r="F115" i="2"/>
  <c r="D115" i="2"/>
  <c r="D113" i="2"/>
  <c r="F113" i="2"/>
  <c r="E113" i="2"/>
  <c r="F109" i="2"/>
  <c r="E109" i="2"/>
  <c r="D109" i="2"/>
  <c r="F110" i="2"/>
  <c r="E110" i="2"/>
  <c r="D110" i="2"/>
  <c r="D107" i="2"/>
  <c r="F107" i="2"/>
  <c r="E107" i="2"/>
  <c r="F108" i="2"/>
  <c r="E108" i="2"/>
  <c r="D108" i="2"/>
  <c r="U33" i="3"/>
  <c r="S35" i="3"/>
  <c r="O26" i="3"/>
  <c r="Q26" i="3"/>
  <c r="X36" i="3"/>
  <c r="D49" i="3" a="1"/>
  <c r="D49" i="3" s="1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11" i="7"/>
  <c r="A12" i="7"/>
  <c r="A13" i="7"/>
  <c r="A14" i="7"/>
  <c r="A15" i="7"/>
  <c r="A16" i="7"/>
  <c r="A17" i="7"/>
  <c r="A18" i="7"/>
  <c r="A3" i="7"/>
  <c r="A4" i="7"/>
  <c r="A5" i="7"/>
  <c r="A6" i="7"/>
  <c r="A7" i="7"/>
  <c r="A8" i="7"/>
  <c r="A9" i="7"/>
  <c r="A10" i="7"/>
  <c r="A2" i="7"/>
  <c r="U35" i="3" l="1"/>
  <c r="K17" i="3"/>
  <c r="N34" i="3" s="1"/>
  <c r="R26" i="3"/>
  <c r="U26" i="3" s="1"/>
  <c r="R27" i="3"/>
  <c r="R28" i="3"/>
  <c r="U28" i="3" s="1"/>
  <c r="P26" i="3"/>
  <c r="T26" i="3" s="1"/>
  <c r="O27" i="3"/>
  <c r="P27" i="3"/>
  <c r="O28" i="3"/>
  <c r="P28" i="3"/>
  <c r="D55" i="3" a="1"/>
  <c r="D55" i="3" s="1"/>
  <c r="D56" i="3" a="1"/>
  <c r="D56" i="3" s="1"/>
  <c r="D52" i="3" a="1"/>
  <c r="D52" i="3" s="1"/>
  <c r="D53" i="3" a="1"/>
  <c r="D53" i="3" s="1"/>
  <c r="D54" i="3" a="1"/>
  <c r="D54" i="3" s="1"/>
  <c r="D51" i="3" a="1"/>
  <c r="D51" i="3" s="1"/>
  <c r="D50" i="3" a="1"/>
  <c r="D50" i="3" s="1"/>
  <c r="H26" i="3"/>
  <c r="J27" i="3"/>
  <c r="J17" i="3"/>
  <c r="U25" i="3"/>
  <c r="F19" i="3" a="1"/>
  <c r="F19" i="3" s="1"/>
  <c r="M27" i="3"/>
  <c r="M28" i="3"/>
  <c r="M26" i="3"/>
  <c r="J28" i="3"/>
  <c r="J26" i="3"/>
  <c r="B2" i="2" a="1"/>
  <c r="B2" i="2" s="1"/>
  <c r="J21" i="2" s="1" a="1"/>
  <c r="AA22" i="2" l="1" a="1"/>
  <c r="AA22" i="2" s="1"/>
  <c r="AB22" i="2" a="1"/>
  <c r="AB22" i="2" s="1"/>
  <c r="W22" i="2" a="1"/>
  <c r="W22" i="2" s="1"/>
  <c r="X22" i="2" a="1"/>
  <c r="X22" i="2" s="1"/>
  <c r="Y22" i="2" a="1"/>
  <c r="Y22" i="2" s="1"/>
  <c r="Z22" i="2" a="1"/>
  <c r="Z22" i="2" s="1"/>
  <c r="N33" i="3"/>
  <c r="N32" i="3"/>
  <c r="N30" i="3"/>
  <c r="N31" i="3"/>
  <c r="J21" i="2"/>
  <c r="U22" i="2" a="1"/>
  <c r="U22" i="2" s="1"/>
  <c r="V22" i="2" a="1"/>
  <c r="V22" i="2" s="1"/>
  <c r="F42" i="3"/>
  <c r="N29" i="3"/>
  <c r="N27" i="3"/>
  <c r="G27" i="3"/>
  <c r="F41" i="3"/>
  <c r="N26" i="3"/>
  <c r="I37" i="3"/>
  <c r="H37" i="3" s="1"/>
  <c r="O37" i="3"/>
  <c r="O38" i="3" s="1"/>
  <c r="P37" i="3"/>
  <c r="P38" i="3" s="1"/>
  <c r="V26" i="3"/>
  <c r="N28" i="3"/>
  <c r="W37" i="3"/>
  <c r="U27" i="3"/>
  <c r="U37" i="3" s="1"/>
  <c r="R37" i="3"/>
  <c r="F43" i="3" l="1"/>
  <c r="H27" i="3"/>
  <c r="G28" i="3" s="1"/>
  <c r="H28" i="3" s="1"/>
  <c r="Q27" i="3"/>
  <c r="T27" i="3" s="1"/>
  <c r="D37" i="2"/>
  <c r="E37" i="2"/>
  <c r="F37" i="2"/>
  <c r="E44" i="2"/>
  <c r="F44" i="2"/>
  <c r="D44" i="2"/>
  <c r="D46" i="2"/>
  <c r="E46" i="2"/>
  <c r="F46" i="2"/>
  <c r="F41" i="2"/>
  <c r="D41" i="2"/>
  <c r="E41" i="2"/>
  <c r="D53" i="2"/>
  <c r="E53" i="2"/>
  <c r="F53" i="2"/>
  <c r="D69" i="2"/>
  <c r="E69" i="2"/>
  <c r="F69" i="2"/>
  <c r="D86" i="2"/>
  <c r="E86" i="2"/>
  <c r="F86" i="2"/>
  <c r="D103" i="2"/>
  <c r="E103" i="2"/>
  <c r="F103" i="2"/>
  <c r="D50" i="2"/>
  <c r="E50" i="2"/>
  <c r="F50" i="2"/>
  <c r="D34" i="2"/>
  <c r="E34" i="2"/>
  <c r="F34" i="2"/>
  <c r="E67" i="2"/>
  <c r="D67" i="2"/>
  <c r="F67" i="2"/>
  <c r="F32" i="2"/>
  <c r="D32" i="2"/>
  <c r="E32" i="2"/>
  <c r="D47" i="2"/>
  <c r="E47" i="2"/>
  <c r="F47" i="2"/>
  <c r="E84" i="2"/>
  <c r="F84" i="2"/>
  <c r="D84" i="2"/>
  <c r="D87" i="2"/>
  <c r="E87" i="2"/>
  <c r="F87" i="2"/>
  <c r="E106" i="2"/>
  <c r="F106" i="2"/>
  <c r="D70" i="2"/>
  <c r="F70" i="2"/>
  <c r="E70" i="2"/>
  <c r="D31" i="2"/>
  <c r="E31" i="2"/>
  <c r="F31" i="2"/>
  <c r="E43" i="2"/>
  <c r="D43" i="2"/>
  <c r="F43" i="2"/>
  <c r="E51" i="2"/>
  <c r="D51" i="2"/>
  <c r="F51" i="2"/>
  <c r="D56" i="2"/>
  <c r="E56" i="2"/>
  <c r="F56" i="2"/>
  <c r="F49" i="2"/>
  <c r="D49" i="2"/>
  <c r="E49" i="2"/>
  <c r="D26" i="2"/>
  <c r="E26" i="2"/>
  <c r="F26" i="2"/>
  <c r="E59" i="2"/>
  <c r="D59" i="2"/>
  <c r="F59" i="2"/>
  <c r="F73" i="2"/>
  <c r="E73" i="2"/>
  <c r="D73" i="2"/>
  <c r="D77" i="2"/>
  <c r="E77" i="2"/>
  <c r="F77" i="2"/>
  <c r="E83" i="2"/>
  <c r="D83" i="2"/>
  <c r="F83" i="2"/>
  <c r="D93" i="2"/>
  <c r="E93" i="2"/>
  <c r="F93" i="2"/>
  <c r="E99" i="2"/>
  <c r="D99" i="2"/>
  <c r="F99" i="2"/>
  <c r="F104" i="2"/>
  <c r="D104" i="2"/>
  <c r="E104" i="2"/>
  <c r="E28" i="2"/>
  <c r="F28" i="2"/>
  <c r="D28" i="2"/>
  <c r="D75" i="2"/>
  <c r="E75" i="2"/>
  <c r="F75" i="2"/>
  <c r="F105" i="2"/>
  <c r="E105" i="2"/>
  <c r="D105" i="2"/>
  <c r="E68" i="2"/>
  <c r="D68" i="2"/>
  <c r="F68" i="2"/>
  <c r="E76" i="2"/>
  <c r="F76" i="2"/>
  <c r="D76" i="2"/>
  <c r="D39" i="2"/>
  <c r="E39" i="2"/>
  <c r="F39" i="2"/>
  <c r="D54" i="2"/>
  <c r="E54" i="2"/>
  <c r="F54" i="2"/>
  <c r="D24" i="2"/>
  <c r="F24" i="2"/>
  <c r="E24" i="2"/>
  <c r="F40" i="2"/>
  <c r="D40" i="2"/>
  <c r="E40" i="2"/>
  <c r="F57" i="2"/>
  <c r="D57" i="2"/>
  <c r="E57" i="2"/>
  <c r="D63" i="2"/>
  <c r="E63" i="2"/>
  <c r="F63" i="2"/>
  <c r="D74" i="2"/>
  <c r="E74" i="2"/>
  <c r="F74" i="2"/>
  <c r="D78" i="2"/>
  <c r="F78" i="2"/>
  <c r="E78" i="2"/>
  <c r="D82" i="2"/>
  <c r="E82" i="2"/>
  <c r="F82" i="2"/>
  <c r="E92" i="2"/>
  <c r="D92" i="2"/>
  <c r="F92" i="2"/>
  <c r="D102" i="2"/>
  <c r="F102" i="2"/>
  <c r="E102" i="2"/>
  <c r="D96" i="2"/>
  <c r="E96" i="2"/>
  <c r="F96" i="2"/>
  <c r="D27" i="2"/>
  <c r="E27" i="2"/>
  <c r="F27" i="2"/>
  <c r="E52" i="2"/>
  <c r="F52" i="2"/>
  <c r="D52" i="2"/>
  <c r="D90" i="2"/>
  <c r="E90" i="2"/>
  <c r="F90" i="2"/>
  <c r="D62" i="2"/>
  <c r="E62" i="2"/>
  <c r="F62" i="2"/>
  <c r="F33" i="2"/>
  <c r="D33" i="2"/>
  <c r="E33" i="2"/>
  <c r="D38" i="2"/>
  <c r="E38" i="2"/>
  <c r="F38" i="2"/>
  <c r="E91" i="2"/>
  <c r="D91" i="2"/>
  <c r="F91" i="2"/>
  <c r="E36" i="2"/>
  <c r="F36" i="2"/>
  <c r="D36" i="2"/>
  <c r="D64" i="2"/>
  <c r="E64" i="2"/>
  <c r="F64" i="2"/>
  <c r="D55" i="2"/>
  <c r="E55" i="2"/>
  <c r="F55" i="2"/>
  <c r="D30" i="2"/>
  <c r="E30" i="2"/>
  <c r="F30" i="2"/>
  <c r="F25" i="2"/>
  <c r="D25" i="2"/>
  <c r="E25" i="2"/>
  <c r="D66" i="2"/>
  <c r="E66" i="2"/>
  <c r="F66" i="2"/>
  <c r="D71" i="2"/>
  <c r="E71" i="2"/>
  <c r="F71" i="2"/>
  <c r="D79" i="2"/>
  <c r="E79" i="2"/>
  <c r="F79" i="2"/>
  <c r="F89" i="2"/>
  <c r="E89" i="2"/>
  <c r="D89" i="2"/>
  <c r="D95" i="2"/>
  <c r="E95" i="2"/>
  <c r="F95" i="2"/>
  <c r="D101" i="2"/>
  <c r="E101" i="2"/>
  <c r="F101" i="2"/>
  <c r="F65" i="2"/>
  <c r="E65" i="2"/>
  <c r="D65" i="2"/>
  <c r="D85" i="2"/>
  <c r="E85" i="2"/>
  <c r="F85" i="2"/>
  <c r="F97" i="2"/>
  <c r="E97" i="2"/>
  <c r="D97" i="2"/>
  <c r="D35" i="2"/>
  <c r="E35" i="2"/>
  <c r="F35" i="2"/>
  <c r="D58" i="2"/>
  <c r="E58" i="2"/>
  <c r="F58" i="2"/>
  <c r="F81" i="2"/>
  <c r="E81" i="2"/>
  <c r="D81" i="2"/>
  <c r="D98" i="2"/>
  <c r="E98" i="2"/>
  <c r="F98" i="2"/>
  <c r="D29" i="2"/>
  <c r="E29" i="2"/>
  <c r="F29" i="2"/>
  <c r="D61" i="2"/>
  <c r="E61" i="2"/>
  <c r="F61" i="2"/>
  <c r="D45" i="2"/>
  <c r="E45" i="2"/>
  <c r="F45" i="2"/>
  <c r="D42" i="2"/>
  <c r="E42" i="2"/>
  <c r="F42" i="2"/>
  <c r="D48" i="2"/>
  <c r="F48" i="2"/>
  <c r="E48" i="2"/>
  <c r="E60" i="2"/>
  <c r="F60" i="2"/>
  <c r="D60" i="2"/>
  <c r="F72" i="2"/>
  <c r="D72" i="2"/>
  <c r="E72" i="2"/>
  <c r="D80" i="2"/>
  <c r="F80" i="2"/>
  <c r="E80" i="2"/>
  <c r="D88" i="2"/>
  <c r="F88" i="2"/>
  <c r="E88" i="2"/>
  <c r="D94" i="2"/>
  <c r="F94" i="2"/>
  <c r="E94" i="2"/>
  <c r="E100" i="2"/>
  <c r="F100" i="2"/>
  <c r="D100" i="2"/>
  <c r="N22" i="2" a="1"/>
  <c r="N22" i="2" s="1"/>
  <c r="K22" i="2" a="1"/>
  <c r="K22" i="2" s="1"/>
  <c r="O22" i="2" a="1"/>
  <c r="O22" i="2" s="1"/>
  <c r="P22" i="2" a="1"/>
  <c r="P22" i="2" s="1"/>
  <c r="L22" i="2" a="1"/>
  <c r="L22" i="2" s="1"/>
  <c r="Q22" i="2" a="1"/>
  <c r="Q22" i="2" s="1"/>
  <c r="M22" i="2" a="1"/>
  <c r="M22" i="2" s="1"/>
  <c r="T22" i="2" a="1"/>
  <c r="T22" i="2" s="1"/>
  <c r="R22" i="2" a="1"/>
  <c r="R22" i="2" s="1"/>
  <c r="S22" i="2" a="1"/>
  <c r="S22" i="2" s="1"/>
  <c r="H17" i="3"/>
  <c r="S37" i="3" s="1" a="1"/>
  <c r="S37" i="3" s="1"/>
  <c r="F17" i="3"/>
  <c r="K19" i="3"/>
  <c r="X26" i="3"/>
  <c r="Y26" i="3"/>
  <c r="D47" i="3"/>
  <c r="ACK22" i="2" a="1"/>
  <c r="ACK22" i="2" s="1"/>
  <c r="V27" i="3" l="1"/>
  <c r="Y27" i="3" s="1"/>
  <c r="G29" i="3"/>
  <c r="Q28" i="3"/>
  <c r="T28" i="3" s="1"/>
  <c r="V28" i="3" s="1"/>
  <c r="J22" i="2" a="1"/>
  <c r="J22" i="2" s="1"/>
  <c r="D23" i="2"/>
  <c r="E23" i="2"/>
  <c r="F23" i="2"/>
  <c r="F22" i="2"/>
  <c r="D22" i="2"/>
  <c r="E22" i="2"/>
  <c r="N42" i="3"/>
  <c r="K42" i="3" s="1"/>
  <c r="H42" i="3" s="1"/>
  <c r="RT22" i="2" a="1"/>
  <c r="RT22" i="2" s="1"/>
  <c r="FM22" i="2" a="1"/>
  <c r="FM22" i="2" s="1"/>
  <c r="BW22" i="2" a="1"/>
  <c r="BW22" i="2" s="1"/>
  <c r="ABG22" i="2" a="1"/>
  <c r="ABG22" i="2" s="1"/>
  <c r="QA22" i="2" a="1"/>
  <c r="QA22" i="2" s="1"/>
  <c r="SG22" i="2" a="1"/>
  <c r="SG22" i="2" s="1"/>
  <c r="IF22" i="2" a="1"/>
  <c r="IF22" i="2" s="1"/>
  <c r="AF22" i="2" a="1"/>
  <c r="AF22" i="2" s="1"/>
  <c r="XN22" i="2" a="1"/>
  <c r="XN22" i="2" s="1"/>
  <c r="IM22" i="2" a="1"/>
  <c r="IM22" i="2" s="1"/>
  <c r="HP22" i="2" a="1"/>
  <c r="HP22" i="2" s="1"/>
  <c r="NP22" i="2" a="1"/>
  <c r="NP22" i="2" s="1"/>
  <c r="AAQ22" i="2" a="1"/>
  <c r="AAQ22" i="2" s="1"/>
  <c r="FL22" i="2" a="1"/>
  <c r="FL22" i="2" s="1"/>
  <c r="EJ22" i="2" a="1"/>
  <c r="EJ22" i="2" s="1"/>
  <c r="LY22" i="2" a="1"/>
  <c r="LY22" i="2" s="1"/>
  <c r="LR22" i="2" a="1"/>
  <c r="LR22" i="2" s="1"/>
  <c r="SB22" i="2" a="1"/>
  <c r="SB22" i="2" s="1"/>
  <c r="BA22" i="2" a="1"/>
  <c r="BA22" i="2" s="1"/>
  <c r="TY22" i="2" a="1"/>
  <c r="TY22" i="2" s="1"/>
  <c r="GO22" i="2" a="1"/>
  <c r="GO22" i="2" s="1"/>
  <c r="VE22" i="2" a="1"/>
  <c r="VE22" i="2" s="1"/>
  <c r="IQ22" i="2" a="1"/>
  <c r="IQ22" i="2" s="1"/>
  <c r="OJ22" i="2" a="1"/>
  <c r="OJ22" i="2" s="1"/>
  <c r="IT22" i="2" a="1"/>
  <c r="IT22" i="2" s="1"/>
  <c r="VV22" i="2" a="1"/>
  <c r="VV22" i="2" s="1"/>
  <c r="CD22" i="2" a="1"/>
  <c r="CD22" i="2" s="1"/>
  <c r="XV22" i="2" a="1"/>
  <c r="XV22" i="2" s="1"/>
  <c r="IJ22" i="2" a="1"/>
  <c r="IJ22" i="2" s="1"/>
  <c r="WJ22" i="2" a="1"/>
  <c r="WJ22" i="2" s="1"/>
  <c r="QQ22" i="2" a="1"/>
  <c r="QQ22" i="2" s="1"/>
  <c r="YH22" i="2" a="1"/>
  <c r="YH22" i="2" s="1"/>
  <c r="WC22" i="2" a="1"/>
  <c r="WC22" i="2" s="1"/>
  <c r="YB22" i="2" a="1"/>
  <c r="YB22" i="2" s="1"/>
  <c r="YW22" i="2" a="1"/>
  <c r="YW22" i="2" s="1"/>
  <c r="TC22" i="2" a="1"/>
  <c r="TC22" i="2" s="1"/>
  <c r="VY22" i="2" a="1"/>
  <c r="VY22" i="2" s="1"/>
  <c r="SM22" i="2" a="1"/>
  <c r="SM22" i="2" s="1"/>
  <c r="ADB22" i="2" a="1"/>
  <c r="ADB22" i="2" s="1"/>
  <c r="RS22" i="2" a="1"/>
  <c r="RS22" i="2" s="1"/>
  <c r="FP22" i="2" a="1"/>
  <c r="FP22" i="2" s="1"/>
  <c r="YQ22" i="2" a="1"/>
  <c r="YQ22" i="2" s="1"/>
  <c r="JB22" i="2" a="1"/>
  <c r="JB22" i="2" s="1"/>
  <c r="KJ22" i="2" a="1"/>
  <c r="KJ22" i="2" s="1"/>
  <c r="ADG22" i="2" a="1"/>
  <c r="ADG22" i="2" s="1"/>
  <c r="ABH22" i="2" a="1"/>
  <c r="ABH22" i="2" s="1"/>
  <c r="NG22" i="2" a="1"/>
  <c r="NG22" i="2" s="1"/>
  <c r="II22" i="2" a="1"/>
  <c r="II22" i="2" s="1"/>
  <c r="BL22" i="2" a="1"/>
  <c r="BL22" i="2" s="1"/>
  <c r="BQ22" i="2" a="1"/>
  <c r="BQ22" i="2" s="1"/>
  <c r="JS22" i="2" a="1"/>
  <c r="JS22" i="2" s="1"/>
  <c r="MU22" i="2" a="1"/>
  <c r="MU22" i="2" s="1"/>
  <c r="XG22" i="2" a="1"/>
  <c r="XG22" i="2" s="1"/>
  <c r="QM22" i="2" a="1"/>
  <c r="QM22" i="2" s="1"/>
  <c r="XJ22" i="2" a="1"/>
  <c r="XJ22" i="2" s="1"/>
  <c r="LD22" i="2" a="1"/>
  <c r="LD22" i="2" s="1"/>
  <c r="DP22" i="2" a="1"/>
  <c r="DP22" i="2" s="1"/>
  <c r="EK22" i="2" a="1"/>
  <c r="EK22" i="2" s="1"/>
  <c r="MR22" i="2" a="1"/>
  <c r="MR22" i="2" s="1"/>
  <c r="XA22" i="2" a="1"/>
  <c r="XA22" i="2" s="1"/>
  <c r="LL22" i="2" a="1"/>
  <c r="LL22" i="2" s="1"/>
  <c r="OW22" i="2" a="1"/>
  <c r="OW22" i="2" s="1"/>
  <c r="GN22" i="2" a="1"/>
  <c r="GN22" i="2" s="1"/>
  <c r="HD22" i="2" a="1"/>
  <c r="HD22" i="2" s="1"/>
  <c r="RQ22" i="2" a="1"/>
  <c r="RQ22" i="2" s="1"/>
  <c r="ZZ22" i="2" a="1"/>
  <c r="ZZ22" i="2" s="1"/>
  <c r="BB22" i="2" a="1"/>
  <c r="BB22" i="2" s="1"/>
  <c r="PC22" i="2" a="1"/>
  <c r="PC22" i="2" s="1"/>
  <c r="DG22" i="2" a="1"/>
  <c r="DG22" i="2" s="1"/>
  <c r="BG22" i="2" a="1"/>
  <c r="BG22" i="2" s="1"/>
  <c r="VH22" i="2" a="1"/>
  <c r="VH22" i="2" s="1"/>
  <c r="ACH22" i="2" a="1"/>
  <c r="ACH22" i="2" s="1"/>
  <c r="WL22" i="2" a="1"/>
  <c r="WL22" i="2" s="1"/>
  <c r="GY22" i="2" a="1"/>
  <c r="GY22" i="2" s="1"/>
  <c r="ABB22" i="2" a="1"/>
  <c r="ABB22" i="2" s="1"/>
  <c r="YO22" i="2" a="1"/>
  <c r="YO22" i="2" s="1"/>
  <c r="JW22" i="2" a="1"/>
  <c r="JW22" i="2" s="1"/>
  <c r="OE22" i="2" a="1"/>
  <c r="OE22" i="2" s="1"/>
  <c r="KS22" i="2" a="1"/>
  <c r="KS22" i="2" s="1"/>
  <c r="ABT22" i="2" a="1"/>
  <c r="ABT22" i="2" s="1"/>
  <c r="SI22" i="2" a="1"/>
  <c r="SI22" i="2" s="1"/>
  <c r="TK22" i="2" a="1"/>
  <c r="TK22" i="2" s="1"/>
  <c r="HE22" i="2" a="1"/>
  <c r="HE22" i="2" s="1"/>
  <c r="WN22" i="2" a="1"/>
  <c r="WN22" i="2" s="1"/>
  <c r="CT22" i="2" a="1"/>
  <c r="CT22" i="2" s="1"/>
  <c r="BX22" i="2" a="1"/>
  <c r="BX22" i="2" s="1"/>
  <c r="RB22" i="2" a="1"/>
  <c r="RB22" i="2" s="1"/>
  <c r="MI22" i="2" a="1"/>
  <c r="MI22" i="2" s="1"/>
  <c r="ACF22" i="2" a="1"/>
  <c r="ACF22" i="2" s="1"/>
  <c r="OU22" i="2" a="1"/>
  <c r="OU22" i="2" s="1"/>
  <c r="JA22" i="2" a="1"/>
  <c r="JA22" i="2" s="1"/>
  <c r="CC22" i="2" a="1"/>
  <c r="CC22" i="2" s="1"/>
  <c r="BT22" i="2" a="1"/>
  <c r="BT22" i="2" s="1"/>
  <c r="NU22" i="2" a="1"/>
  <c r="NU22" i="2" s="1"/>
  <c r="CO22" i="2" a="1"/>
  <c r="CO22" i="2" s="1"/>
  <c r="OR22" i="2" a="1"/>
  <c r="OR22" i="2" s="1"/>
  <c r="LS22" i="2" a="1"/>
  <c r="LS22" i="2" s="1"/>
  <c r="CE22" i="2" a="1"/>
  <c r="CE22" i="2" s="1"/>
  <c r="HF22" i="2" a="1"/>
  <c r="HF22" i="2" s="1"/>
  <c r="OX22" i="2" a="1"/>
  <c r="OX22" i="2" s="1"/>
  <c r="NQ22" i="2" a="1"/>
  <c r="NQ22" i="2" s="1"/>
  <c r="WT22" i="2" a="1"/>
  <c r="WT22" i="2" s="1"/>
  <c r="NB22" i="2" a="1"/>
  <c r="NB22" i="2" s="1"/>
  <c r="OT22" i="2" a="1"/>
  <c r="OT22" i="2" s="1"/>
  <c r="OK22" i="2" a="1"/>
  <c r="OK22" i="2" s="1"/>
  <c r="VF22" i="2" a="1"/>
  <c r="VF22" i="2" s="1"/>
  <c r="SF22" i="2" a="1"/>
  <c r="SF22" i="2" s="1"/>
  <c r="KH22" i="2" a="1"/>
  <c r="KH22" i="2" s="1"/>
  <c r="JI22" i="2" a="1"/>
  <c r="JI22" i="2" s="1"/>
  <c r="OF22" i="2" a="1"/>
  <c r="OF22" i="2" s="1"/>
  <c r="PH22" i="2" a="1"/>
  <c r="PH22" i="2" s="1"/>
  <c r="XX22" i="2" a="1"/>
  <c r="XX22" i="2" s="1"/>
  <c r="QP22" i="2" a="1"/>
  <c r="QP22" i="2" s="1"/>
  <c r="EN22" i="2" a="1"/>
  <c r="EN22" i="2" s="1"/>
  <c r="LX22" i="2" a="1"/>
  <c r="LX22" i="2" s="1"/>
  <c r="AAA22" i="2" a="1"/>
  <c r="AAA22" i="2" s="1"/>
  <c r="AW22" i="2" a="1"/>
  <c r="AW22" i="2" s="1"/>
  <c r="ZC22" i="2" a="1"/>
  <c r="ZC22" i="2" s="1"/>
  <c r="WM22" i="2" a="1"/>
  <c r="WM22" i="2" s="1"/>
  <c r="RF22" i="2" a="1"/>
  <c r="RF22" i="2" s="1"/>
  <c r="AI22" i="2" a="1"/>
  <c r="AI22" i="2" s="1"/>
  <c r="LU22" i="2" a="1"/>
  <c r="LU22" i="2" s="1"/>
  <c r="FO22" i="2" a="1"/>
  <c r="FO22" i="2" s="1"/>
  <c r="HJ22" i="2" a="1"/>
  <c r="HJ22" i="2" s="1"/>
  <c r="ER22" i="2" a="1"/>
  <c r="ER22" i="2" s="1"/>
  <c r="MP22" i="2" a="1"/>
  <c r="MP22" i="2" s="1"/>
  <c r="PL22" i="2" a="1"/>
  <c r="PL22" i="2" s="1"/>
  <c r="JK22" i="2" a="1"/>
  <c r="JK22" i="2" s="1"/>
  <c r="CI22" i="2" a="1"/>
  <c r="CI22" i="2" s="1"/>
  <c r="TR22" i="2" a="1"/>
  <c r="TR22" i="2" s="1"/>
  <c r="TF22" i="2" a="1"/>
  <c r="TF22" i="2" s="1"/>
  <c r="WH22" i="2" a="1"/>
  <c r="WH22" i="2" s="1"/>
  <c r="ACQ22" i="2" a="1"/>
  <c r="ACQ22" i="2" s="1"/>
  <c r="KG22" i="2" a="1"/>
  <c r="KG22" i="2" s="1"/>
  <c r="GK22" i="2" a="1"/>
  <c r="GK22" i="2" s="1"/>
  <c r="WV22" i="2" a="1"/>
  <c r="WV22" i="2" s="1"/>
  <c r="WP22" i="2" a="1"/>
  <c r="WP22" i="2" s="1"/>
  <c r="ACD22" i="2" a="1"/>
  <c r="ACD22" i="2" s="1"/>
  <c r="SP22" i="2" a="1"/>
  <c r="SP22" i="2" s="1"/>
  <c r="LF22" i="2" a="1"/>
  <c r="LF22" i="2" s="1"/>
  <c r="AAY22" i="2" a="1"/>
  <c r="AAY22" i="2" s="1"/>
  <c r="WS22" i="2" a="1"/>
  <c r="WS22" i="2" s="1"/>
  <c r="SS22" i="2" a="1"/>
  <c r="SS22" i="2" s="1"/>
  <c r="PY22" i="2" a="1"/>
  <c r="PY22" i="2" s="1"/>
  <c r="JQ22" i="2" a="1"/>
  <c r="JQ22" i="2" s="1"/>
  <c r="WQ22" i="2" a="1"/>
  <c r="WQ22" i="2" s="1"/>
  <c r="ZV22" i="2" a="1"/>
  <c r="ZV22" i="2" s="1"/>
  <c r="VQ22" i="2" a="1"/>
  <c r="VQ22" i="2" s="1"/>
  <c r="MQ22" i="2" a="1"/>
  <c r="MQ22" i="2" s="1"/>
  <c r="CR22" i="2" a="1"/>
  <c r="CR22" i="2" s="1"/>
  <c r="MD22" i="2" a="1"/>
  <c r="MD22" i="2" s="1"/>
  <c r="XM22" i="2" a="1"/>
  <c r="XM22" i="2" s="1"/>
  <c r="DC22" i="2" a="1"/>
  <c r="DC22" i="2" s="1"/>
  <c r="OC22" i="2" a="1"/>
  <c r="OC22" i="2" s="1"/>
  <c r="ACO22" i="2" a="1"/>
  <c r="ACO22" i="2" s="1"/>
  <c r="WU22" i="2" a="1"/>
  <c r="WU22" i="2" s="1"/>
  <c r="UF22" i="2" a="1"/>
  <c r="UF22" i="2" s="1"/>
  <c r="AU22" i="2" a="1"/>
  <c r="AU22" i="2" s="1"/>
  <c r="AAH22" i="2" a="1"/>
  <c r="AAH22" i="2" s="1"/>
  <c r="KT22" i="2" a="1"/>
  <c r="KT22" i="2" s="1"/>
  <c r="LO22" i="2" a="1"/>
  <c r="LO22" i="2" s="1"/>
  <c r="TB22" i="2" a="1"/>
  <c r="TB22" i="2" s="1"/>
  <c r="WE22" i="2" a="1"/>
  <c r="WE22" i="2" s="1"/>
  <c r="EY22" i="2" a="1"/>
  <c r="EY22" i="2" s="1"/>
  <c r="FJ22" i="2" a="1"/>
  <c r="FJ22" i="2" s="1"/>
  <c r="MC22" i="2" a="1"/>
  <c r="MC22" i="2" s="1"/>
  <c r="YC22" i="2" a="1"/>
  <c r="YC22" i="2" s="1"/>
  <c r="GQ22" i="2" a="1"/>
  <c r="GQ22" i="2" s="1"/>
  <c r="ABA22" i="2" a="1"/>
  <c r="ABA22" i="2" s="1"/>
  <c r="ACN22" i="2" a="1"/>
  <c r="ACN22" i="2" s="1"/>
  <c r="BO22" i="2" a="1"/>
  <c r="BO22" i="2" s="1"/>
  <c r="SA22" i="2" a="1"/>
  <c r="SA22" i="2" s="1"/>
  <c r="GG22" i="2" a="1"/>
  <c r="GG22" i="2" s="1"/>
  <c r="ACE22" i="2" a="1"/>
  <c r="ACE22" i="2" s="1"/>
  <c r="AS22" i="2" a="1"/>
  <c r="AS22" i="2" s="1"/>
  <c r="JX22" i="2" a="1"/>
  <c r="JX22" i="2" s="1"/>
  <c r="QR22" i="2" a="1"/>
  <c r="QR22" i="2" s="1"/>
  <c r="QK22" i="2" a="1"/>
  <c r="QK22" i="2" s="1"/>
  <c r="AAS22" i="2" a="1"/>
  <c r="AAS22" i="2" s="1"/>
  <c r="XL22" i="2" a="1"/>
  <c r="XL22" i="2" s="1"/>
  <c r="TA22" i="2" a="1"/>
  <c r="TA22" i="2" s="1"/>
  <c r="QV22" i="2" a="1"/>
  <c r="QV22" i="2" s="1"/>
  <c r="NY22" i="2" a="1"/>
  <c r="NY22" i="2" s="1"/>
  <c r="IR22" i="2" a="1"/>
  <c r="IR22" i="2" s="1"/>
  <c r="ACP22" i="2" a="1"/>
  <c r="ACP22" i="2" s="1"/>
  <c r="UY22" i="2" a="1"/>
  <c r="UY22" i="2" s="1"/>
  <c r="IH22" i="2" a="1"/>
  <c r="IH22" i="2" s="1"/>
  <c r="TW22" i="2" a="1"/>
  <c r="TW22" i="2" s="1"/>
  <c r="XQ22" i="2" a="1"/>
  <c r="XQ22" i="2" s="1"/>
  <c r="XE22" i="2" a="1"/>
  <c r="XE22" i="2" s="1"/>
  <c r="US22" i="2" a="1"/>
  <c r="US22" i="2" s="1"/>
  <c r="HN22" i="2" a="1"/>
  <c r="HN22" i="2" s="1"/>
  <c r="XO22" i="2" a="1"/>
  <c r="XO22" i="2" s="1"/>
  <c r="ACB22" i="2" a="1"/>
  <c r="ACB22" i="2" s="1"/>
  <c r="QF22" i="2" a="1"/>
  <c r="QF22" i="2" s="1"/>
  <c r="DV22" i="2" a="1"/>
  <c r="DV22" i="2" s="1"/>
  <c r="MJ22" i="2" a="1"/>
  <c r="MJ22" i="2" s="1"/>
  <c r="XY22" i="2" a="1"/>
  <c r="XY22" i="2" s="1"/>
  <c r="YJ22" i="2" a="1"/>
  <c r="YJ22" i="2" s="1"/>
  <c r="AAP22" i="2" a="1"/>
  <c r="AAP22" i="2" s="1"/>
  <c r="NC22" i="2" a="1"/>
  <c r="NC22" i="2" s="1"/>
  <c r="IZ22" i="2" a="1"/>
  <c r="IZ22" i="2" s="1"/>
  <c r="RP22" i="2" a="1"/>
  <c r="RP22" i="2" s="1"/>
  <c r="ZS22" i="2" a="1"/>
  <c r="ZS22" i="2" s="1"/>
  <c r="SE22" i="2" a="1"/>
  <c r="SE22" i="2" s="1"/>
  <c r="YT22" i="2" a="1"/>
  <c r="YT22" i="2" s="1"/>
  <c r="QC22" i="2" a="1"/>
  <c r="QC22" i="2" s="1"/>
  <c r="GW22" i="2" a="1"/>
  <c r="GW22" i="2" s="1"/>
  <c r="TD22" i="2" a="1"/>
  <c r="TD22" i="2" s="1"/>
  <c r="YD22" i="2" a="1"/>
  <c r="YD22" i="2" s="1"/>
  <c r="UQ22" i="2" a="1"/>
  <c r="UQ22" i="2" s="1"/>
  <c r="GA22" i="2" a="1"/>
  <c r="GA22" i="2" s="1"/>
  <c r="DI22" i="2" a="1"/>
  <c r="DI22" i="2" s="1"/>
  <c r="UE22" i="2" a="1"/>
  <c r="UE22" i="2" s="1"/>
  <c r="FD22" i="2" a="1"/>
  <c r="FD22" i="2" s="1"/>
  <c r="PB22" i="2" a="1"/>
  <c r="PB22" i="2" s="1"/>
  <c r="DT22" i="2" a="1"/>
  <c r="DT22" i="2" s="1"/>
  <c r="IB22" i="2" a="1"/>
  <c r="IB22" i="2" s="1"/>
  <c r="LJ22" i="2" a="1"/>
  <c r="LJ22" i="2" s="1"/>
  <c r="CK22" i="2" a="1"/>
  <c r="CK22" i="2" s="1"/>
  <c r="QH22" i="2" a="1"/>
  <c r="QH22" i="2" s="1"/>
  <c r="YM22" i="2" a="1"/>
  <c r="YM22" i="2" s="1"/>
  <c r="IY22" i="2" a="1"/>
  <c r="IY22" i="2" s="1"/>
  <c r="CB22" i="2" a="1"/>
  <c r="CB22" i="2" s="1"/>
  <c r="BK22" i="2" a="1"/>
  <c r="BK22" i="2" s="1"/>
  <c r="RI22" i="2" a="1"/>
  <c r="RI22" i="2" s="1"/>
  <c r="ZQ22" i="2" a="1"/>
  <c r="ZQ22" i="2" s="1"/>
  <c r="QG22" i="2" a="1"/>
  <c r="QG22" i="2" s="1"/>
  <c r="ABM22" i="2" a="1"/>
  <c r="ABM22" i="2" s="1"/>
  <c r="JJ22" i="2" a="1"/>
  <c r="JJ22" i="2" s="1"/>
  <c r="MH22" i="2" a="1"/>
  <c r="MH22" i="2" s="1"/>
  <c r="DA22" i="2" a="1"/>
  <c r="DA22" i="2" s="1"/>
  <c r="KQ22" i="2" a="1"/>
  <c r="KQ22" i="2" s="1"/>
  <c r="ACA22" i="2" a="1"/>
  <c r="ACA22" i="2" s="1"/>
  <c r="CX22" i="2" a="1"/>
  <c r="CX22" i="2" s="1"/>
  <c r="ZW22" i="2" a="1"/>
  <c r="ZW22" i="2" s="1"/>
  <c r="DK22" i="2" a="1"/>
  <c r="DK22" i="2" s="1"/>
  <c r="ABI22" i="2" a="1"/>
  <c r="ABI22" i="2" s="1"/>
  <c r="QB22" i="2" a="1"/>
  <c r="QB22" i="2" s="1"/>
  <c r="GD22" i="2" a="1"/>
  <c r="GD22" i="2" s="1"/>
  <c r="VP22" i="2" a="1"/>
  <c r="VP22" i="2" s="1"/>
  <c r="MO22" i="2" a="1"/>
  <c r="MO22" i="2" s="1"/>
  <c r="GM22" i="2" a="1"/>
  <c r="GM22" i="2" s="1"/>
  <c r="FE22" i="2" a="1"/>
  <c r="FE22" i="2" s="1"/>
  <c r="GP22" i="2" a="1"/>
  <c r="GP22" i="2" s="1"/>
  <c r="TI22" i="2" a="1"/>
  <c r="TI22" i="2" s="1"/>
  <c r="XK22" i="2" a="1"/>
  <c r="XK22" i="2" s="1"/>
  <c r="QX22" i="2" a="1"/>
  <c r="QX22" i="2" s="1"/>
  <c r="FR22" i="2" a="1"/>
  <c r="FR22" i="2" s="1"/>
  <c r="MX22" i="2" a="1"/>
  <c r="MX22" i="2" s="1"/>
  <c r="NE22" i="2" a="1"/>
  <c r="NE22" i="2" s="1"/>
  <c r="AP22" i="2" a="1"/>
  <c r="AP22" i="2" s="1"/>
  <c r="GC22" i="2" a="1"/>
  <c r="GC22" i="2" s="1"/>
  <c r="SZ22" i="2" a="1"/>
  <c r="SZ22" i="2" s="1"/>
  <c r="ET22" i="2" a="1"/>
  <c r="ET22" i="2" s="1"/>
  <c r="WX22" i="2" a="1"/>
  <c r="WX22" i="2" s="1"/>
  <c r="SO22" i="2" a="1"/>
  <c r="SO22" i="2" s="1"/>
  <c r="WD22" i="2" a="1"/>
  <c r="WD22" i="2" s="1"/>
  <c r="ACY22" i="2" a="1"/>
  <c r="ACY22" i="2" s="1"/>
  <c r="XP22" i="2" a="1"/>
  <c r="XP22" i="2" s="1"/>
  <c r="WZ22" i="2" a="1"/>
  <c r="WZ22" i="2" s="1"/>
  <c r="YS22" i="2" a="1"/>
  <c r="YS22" i="2" s="1"/>
  <c r="UC22" i="2" a="1"/>
  <c r="UC22" i="2" s="1"/>
  <c r="AV22" i="2" a="1"/>
  <c r="AV22" i="2" s="1"/>
  <c r="VT22" i="2" a="1"/>
  <c r="VT22" i="2" s="1"/>
  <c r="NF22" i="2" a="1"/>
  <c r="NF22" i="2" s="1"/>
  <c r="TN22" i="2" a="1"/>
  <c r="TN22" i="2" s="1"/>
  <c r="VU22" i="2" a="1"/>
  <c r="VU22" i="2" s="1"/>
  <c r="OA22" i="2" a="1"/>
  <c r="OA22" i="2" s="1"/>
  <c r="VX22" i="2" a="1"/>
  <c r="VX22" i="2" s="1"/>
  <c r="LT22" i="2" a="1"/>
  <c r="LT22" i="2" s="1"/>
  <c r="GU22" i="2" a="1"/>
  <c r="GU22" i="2" s="1"/>
  <c r="YE22" i="2" a="1"/>
  <c r="YE22" i="2" s="1"/>
  <c r="AAT22" i="2" a="1"/>
  <c r="AAT22" i="2" s="1"/>
  <c r="AZ22" i="2" a="1"/>
  <c r="AZ22" i="2" s="1"/>
  <c r="XF22" i="2" a="1"/>
  <c r="XF22" i="2" s="1"/>
  <c r="ADD22" i="2" a="1"/>
  <c r="ADD22" i="2" s="1"/>
  <c r="SR22" i="2" a="1"/>
  <c r="SR22" i="2" s="1"/>
  <c r="IP22" i="2" a="1"/>
  <c r="IP22" i="2" s="1"/>
  <c r="BH22" i="2" a="1"/>
  <c r="BH22" i="2" s="1"/>
  <c r="HY22" i="2" a="1"/>
  <c r="HY22" i="2" s="1"/>
  <c r="CS22" i="2" a="1"/>
  <c r="CS22" i="2" s="1"/>
  <c r="XD22" i="2" a="1"/>
  <c r="XD22" i="2" s="1"/>
  <c r="LM22" i="2" a="1"/>
  <c r="LM22" i="2" s="1"/>
  <c r="AK22" i="2" a="1"/>
  <c r="AK22" i="2" s="1"/>
  <c r="ABY22" i="2" a="1"/>
  <c r="ABY22" i="2" s="1"/>
  <c r="PE22" i="2" a="1"/>
  <c r="PE22" i="2" s="1"/>
  <c r="VK22" i="2" a="1"/>
  <c r="VK22" i="2" s="1"/>
  <c r="OM22" i="2" a="1"/>
  <c r="OM22" i="2" s="1"/>
  <c r="HZ22" i="2" a="1"/>
  <c r="HZ22" i="2" s="1"/>
  <c r="ACJ22" i="2" a="1"/>
  <c r="ACJ22" i="2" s="1"/>
  <c r="BZ22" i="2" a="1"/>
  <c r="BZ22" i="2" s="1"/>
  <c r="YR22" i="2" a="1"/>
  <c r="YR22" i="2" s="1"/>
  <c r="PV22" i="2" a="1"/>
  <c r="PV22" i="2" s="1"/>
  <c r="RL22" i="2" a="1"/>
  <c r="RL22" i="2" s="1"/>
  <c r="VB22" i="2" a="1"/>
  <c r="VB22" i="2" s="1"/>
  <c r="QO22" i="2" a="1"/>
  <c r="QO22" i="2" s="1"/>
  <c r="HV22" i="2" a="1"/>
  <c r="HV22" i="2" s="1"/>
  <c r="BM22" i="2" a="1"/>
  <c r="BM22" i="2" s="1"/>
  <c r="AAJ22" i="2" a="1"/>
  <c r="AAJ22" i="2" s="1"/>
  <c r="WG22" i="2" a="1"/>
  <c r="WG22" i="2" s="1"/>
  <c r="YF22" i="2" a="1"/>
  <c r="YF22" i="2" s="1"/>
  <c r="VL22" i="2" a="1"/>
  <c r="VL22" i="2" s="1"/>
  <c r="BN22" i="2" a="1"/>
  <c r="BN22" i="2" s="1"/>
  <c r="XW22" i="2" a="1"/>
  <c r="XW22" i="2" s="1"/>
  <c r="FQ22" i="2" a="1"/>
  <c r="FQ22" i="2" s="1"/>
  <c r="ZN22" i="2" a="1"/>
  <c r="ZN22" i="2" s="1"/>
  <c r="DM22" i="2" a="1"/>
  <c r="DM22" i="2" s="1"/>
  <c r="PK22" i="2" a="1"/>
  <c r="PK22" i="2" s="1"/>
  <c r="OI22" i="2" a="1"/>
  <c r="OI22" i="2" s="1"/>
  <c r="AD22" i="2" a="1"/>
  <c r="AD22" i="2" s="1"/>
  <c r="ST22" i="2" a="1"/>
  <c r="ST22" i="2" s="1"/>
  <c r="GX22" i="2" a="1"/>
  <c r="GX22" i="2" s="1"/>
  <c r="PQ22" i="2" a="1"/>
  <c r="PQ22" i="2" s="1"/>
  <c r="VZ22" i="2" a="1"/>
  <c r="VZ22" i="2" s="1"/>
  <c r="EG22" i="2" a="1"/>
  <c r="EG22" i="2" s="1"/>
  <c r="SD22" i="2" a="1"/>
  <c r="SD22" i="2" s="1"/>
  <c r="QL22" i="2" a="1"/>
  <c r="QL22" i="2" s="1"/>
  <c r="MV22" i="2" a="1"/>
  <c r="MV22" i="2" s="1"/>
  <c r="FZ22" i="2" a="1"/>
  <c r="FZ22" i="2" s="1"/>
  <c r="ABP22" i="2" a="1"/>
  <c r="ABP22" i="2" s="1"/>
  <c r="ACC22" i="2" a="1"/>
  <c r="ACC22" i="2" s="1"/>
  <c r="BE22" i="2" a="1"/>
  <c r="BE22" i="2" s="1"/>
  <c r="PX22" i="2" a="1"/>
  <c r="PX22" i="2" s="1"/>
  <c r="UB22" i="2" a="1"/>
  <c r="UB22" i="2" s="1"/>
  <c r="ABK22" i="2" a="1"/>
  <c r="ABK22" i="2" s="1"/>
  <c r="HS22" i="2" a="1"/>
  <c r="HS22" i="2" s="1"/>
  <c r="DY22" i="2" a="1"/>
  <c r="DY22" i="2" s="1"/>
  <c r="VA22" i="2" a="1"/>
  <c r="VA22" i="2" s="1"/>
  <c r="XI22" i="2" a="1"/>
  <c r="XI22" i="2" s="1"/>
  <c r="BC22" i="2" a="1"/>
  <c r="BC22" i="2" s="1"/>
  <c r="MB22" i="2" a="1"/>
  <c r="MB22" i="2" s="1"/>
  <c r="SY22" i="2" a="1"/>
  <c r="SY22" i="2" s="1"/>
  <c r="DZ22" i="2" a="1"/>
  <c r="DZ22" i="2" s="1"/>
  <c r="AX22" i="2" a="1"/>
  <c r="AX22" i="2" s="1"/>
  <c r="EW22" i="2" a="1"/>
  <c r="EW22" i="2" s="1"/>
  <c r="ED22" i="2" a="1"/>
  <c r="ED22" i="2" s="1"/>
  <c r="ACU22" i="2" a="1"/>
  <c r="ACU22" i="2" s="1"/>
  <c r="ABW22" i="2" a="1"/>
  <c r="ABW22" i="2" s="1"/>
  <c r="YI22" i="2" a="1"/>
  <c r="YI22" i="2" s="1"/>
  <c r="ACZ22" i="2" a="1"/>
  <c r="ACZ22" i="2" s="1"/>
  <c r="RN22" i="2" a="1"/>
  <c r="RN22" i="2" s="1"/>
  <c r="UP22" i="2" a="1"/>
  <c r="UP22" i="2" s="1"/>
  <c r="NV22" i="2" a="1"/>
  <c r="NV22" i="2" s="1"/>
  <c r="MS22" i="2" a="1"/>
  <c r="MS22" i="2" s="1"/>
  <c r="HR22" i="2" a="1"/>
  <c r="HR22" i="2" s="1"/>
  <c r="HW22" i="2" a="1"/>
  <c r="HW22" i="2" s="1"/>
  <c r="XC22" i="2" a="1"/>
  <c r="XC22" i="2" s="1"/>
  <c r="IG22" i="2" a="1"/>
  <c r="IG22" i="2" s="1"/>
  <c r="ZY22" i="2" a="1"/>
  <c r="ZY22" i="2" s="1"/>
  <c r="RJ22" i="2" a="1"/>
  <c r="RJ22" i="2" s="1"/>
  <c r="UO22" i="2" a="1"/>
  <c r="UO22" i="2" s="1"/>
  <c r="NZ22" i="2" a="1"/>
  <c r="NZ22" i="2" s="1"/>
  <c r="OV22" i="2" a="1"/>
  <c r="OV22" i="2" s="1"/>
  <c r="VW22" i="2" a="1"/>
  <c r="VW22" i="2" s="1"/>
  <c r="YU22" i="2" a="1"/>
  <c r="YU22" i="2" s="1"/>
  <c r="LH22" i="2" a="1"/>
  <c r="LH22" i="2" s="1"/>
  <c r="MY22" i="2" a="1"/>
  <c r="MY22" i="2" s="1"/>
  <c r="JM22" i="2" a="1"/>
  <c r="JM22" i="2" s="1"/>
  <c r="RC22" i="2" a="1"/>
  <c r="RC22" i="2" s="1"/>
  <c r="ADA22" i="2" a="1"/>
  <c r="ADA22" i="2" s="1"/>
  <c r="VJ22" i="2" a="1"/>
  <c r="VJ22" i="2" s="1"/>
  <c r="FN22" i="2" a="1"/>
  <c r="FN22" i="2" s="1"/>
  <c r="AG22" i="2" a="1"/>
  <c r="AG22" i="2" s="1"/>
  <c r="FX22" i="2" a="1"/>
  <c r="FX22" i="2" s="1"/>
  <c r="UM22" i="2" a="1"/>
  <c r="UM22" i="2" s="1"/>
  <c r="GR22" i="2" a="1"/>
  <c r="GR22" i="2" s="1"/>
  <c r="BR22" i="2" a="1"/>
  <c r="BR22" i="2" s="1"/>
  <c r="PT22" i="2" a="1"/>
  <c r="PT22" i="2" s="1"/>
  <c r="IA22" i="2" a="1"/>
  <c r="IA22" i="2" s="1"/>
  <c r="MA22" i="2" a="1"/>
  <c r="MA22" i="2" s="1"/>
  <c r="JD22" i="2" a="1"/>
  <c r="JD22" i="2" s="1"/>
  <c r="KC22" i="2" a="1"/>
  <c r="KC22" i="2" s="1"/>
  <c r="PM22" i="2" a="1"/>
  <c r="PM22" i="2" s="1"/>
  <c r="AAF22" i="2" a="1"/>
  <c r="AAF22" i="2" s="1"/>
  <c r="ZP22" i="2" a="1"/>
  <c r="ZP22" i="2" s="1"/>
  <c r="PO22" i="2" a="1"/>
  <c r="PO22" i="2" s="1"/>
  <c r="MN22" i="2" a="1"/>
  <c r="MN22" i="2" s="1"/>
  <c r="ZE22" i="2" a="1"/>
  <c r="ZE22" i="2" s="1"/>
  <c r="JG22" i="2" a="1"/>
  <c r="JG22" i="2" s="1"/>
  <c r="ADE22" i="2" a="1"/>
  <c r="ADE22" i="2" s="1"/>
  <c r="NN22" i="2" a="1"/>
  <c r="NN22" i="2" s="1"/>
  <c r="ZD22" i="2" a="1"/>
  <c r="ZD22" i="2" s="1"/>
  <c r="MT22" i="2" a="1"/>
  <c r="MT22" i="2" s="1"/>
  <c r="AAV22" i="2" a="1"/>
  <c r="AAV22" i="2" s="1"/>
  <c r="NT22" i="2" a="1"/>
  <c r="NT22" i="2" s="1"/>
  <c r="WB22" i="2" a="1"/>
  <c r="WB22" i="2" s="1"/>
  <c r="ACW22" i="2" a="1"/>
  <c r="ACW22" i="2" s="1"/>
  <c r="JT22" i="2" a="1"/>
  <c r="JT22" i="2" s="1"/>
  <c r="AAR22" i="2" a="1"/>
  <c r="AAR22" i="2" s="1"/>
  <c r="NH22" i="2" a="1"/>
  <c r="NH22" i="2" s="1"/>
  <c r="RZ22" i="2" a="1"/>
  <c r="RZ22" i="2" s="1"/>
  <c r="DN22" i="2" a="1"/>
  <c r="DN22" i="2" s="1"/>
  <c r="NM22" i="2" a="1"/>
  <c r="NM22" i="2" s="1"/>
  <c r="AAK22" i="2" a="1"/>
  <c r="AAK22" i="2" s="1"/>
  <c r="ABO22" i="2" a="1"/>
  <c r="ABO22" i="2" s="1"/>
  <c r="YZ22" i="2" a="1"/>
  <c r="YZ22" i="2" s="1"/>
  <c r="AY22" i="2" a="1"/>
  <c r="AY22" i="2" s="1"/>
  <c r="GV22" i="2" a="1"/>
  <c r="GV22" i="2" s="1"/>
  <c r="UJ22" i="2" a="1"/>
  <c r="UJ22" i="2" s="1"/>
  <c r="IW22" i="2" a="1"/>
  <c r="IW22" i="2" s="1"/>
  <c r="AAU22" i="2" a="1"/>
  <c r="AAU22" i="2" s="1"/>
  <c r="JL22" i="2" a="1"/>
  <c r="JL22" i="2" s="1"/>
  <c r="YK22" i="2" a="1"/>
  <c r="YK22" i="2" s="1"/>
  <c r="DE22" i="2" a="1"/>
  <c r="DE22" i="2" s="1"/>
  <c r="ZH22" i="2" a="1"/>
  <c r="ZH22" i="2" s="1"/>
  <c r="SN22" i="2" a="1"/>
  <c r="SN22" i="2" s="1"/>
  <c r="OD22" i="2" a="1"/>
  <c r="OD22" i="2" s="1"/>
  <c r="ZL22" i="2" a="1"/>
  <c r="ZL22" i="2" s="1"/>
  <c r="RH22" i="2" a="1"/>
  <c r="RH22" i="2" s="1"/>
  <c r="YX22" i="2" a="1"/>
  <c r="YX22" i="2" s="1"/>
  <c r="RX22" i="2" a="1"/>
  <c r="RX22" i="2" s="1"/>
  <c r="AM22" i="2" a="1"/>
  <c r="AM22" i="2" s="1"/>
  <c r="CY22" i="2" a="1"/>
  <c r="CY22" i="2" s="1"/>
  <c r="KW22" i="2" a="1"/>
  <c r="KW22" i="2" s="1"/>
  <c r="BP22" i="2" a="1"/>
  <c r="BP22" i="2" s="1"/>
  <c r="ME22" i="2" a="1"/>
  <c r="ME22" i="2" s="1"/>
  <c r="KF22" i="2" a="1"/>
  <c r="KF22" i="2" s="1"/>
  <c r="GS22" i="2" a="1"/>
  <c r="GS22" i="2" s="1"/>
  <c r="PA22" i="2" a="1"/>
  <c r="PA22" i="2" s="1"/>
  <c r="DS22" i="2" a="1"/>
  <c r="DS22" i="2" s="1"/>
  <c r="XT22" i="2" a="1"/>
  <c r="XT22" i="2" s="1"/>
  <c r="ABQ22" i="2" a="1"/>
  <c r="ABQ22" i="2" s="1"/>
  <c r="IU22" i="2" a="1"/>
  <c r="IU22" i="2" s="1"/>
  <c r="VD22" i="2" a="1"/>
  <c r="VD22" i="2" s="1"/>
  <c r="VR22" i="2" a="1"/>
  <c r="VR22" i="2" s="1"/>
  <c r="KY22" i="2" a="1"/>
  <c r="KY22" i="2" s="1"/>
  <c r="VC22" i="2" a="1"/>
  <c r="VC22" i="2" s="1"/>
  <c r="FW22" i="2" a="1"/>
  <c r="FW22" i="2" s="1"/>
  <c r="SJ22" i="2" a="1"/>
  <c r="SJ22" i="2" s="1"/>
  <c r="AAM22" i="2" a="1"/>
  <c r="AAM22" i="2" s="1"/>
  <c r="ZR22" i="2" a="1"/>
  <c r="ZR22" i="2" s="1"/>
  <c r="EM22" i="2" a="1"/>
  <c r="EM22" i="2" s="1"/>
  <c r="XU22" i="2" a="1"/>
  <c r="XU22" i="2" s="1"/>
  <c r="LB22" i="2" a="1"/>
  <c r="LB22" i="2" s="1"/>
  <c r="UT22" i="2" a="1"/>
  <c r="UT22" i="2" s="1"/>
  <c r="QS22" i="2" a="1"/>
  <c r="QS22" i="2" s="1"/>
  <c r="HI22" i="2" a="1"/>
  <c r="HI22" i="2" s="1"/>
  <c r="ACL22" i="2" a="1"/>
  <c r="ACL22" i="2" s="1"/>
  <c r="ACS22" i="2" a="1"/>
  <c r="ACS22" i="2" s="1"/>
  <c r="NJ22" i="2" a="1"/>
  <c r="NJ22" i="2" s="1"/>
  <c r="KL22" i="2" a="1"/>
  <c r="KL22" i="2" s="1"/>
  <c r="NW22" i="2" a="1"/>
  <c r="NW22" i="2" s="1"/>
  <c r="DD22" i="2" a="1"/>
  <c r="DD22" i="2" s="1"/>
  <c r="VN22" i="2" a="1"/>
  <c r="VN22" i="2" s="1"/>
  <c r="IC22" i="2" a="1"/>
  <c r="IC22" i="2" s="1"/>
  <c r="JC22" i="2" a="1"/>
  <c r="JC22" i="2" s="1"/>
  <c r="WF22" i="2" a="1"/>
  <c r="WF22" i="2" s="1"/>
  <c r="YL22" i="2" a="1"/>
  <c r="YL22" i="2" s="1"/>
  <c r="SK22" i="2" a="1"/>
  <c r="SK22" i="2" s="1"/>
  <c r="FC22" i="2" a="1"/>
  <c r="FC22" i="2" s="1"/>
  <c r="JN22" i="2" a="1"/>
  <c r="JN22" i="2" s="1"/>
  <c r="SX22" i="2" a="1"/>
  <c r="SX22" i="2" s="1"/>
  <c r="NS22" i="2" a="1"/>
  <c r="NS22" i="2" s="1"/>
  <c r="KP22" i="2" a="1"/>
  <c r="KP22" i="2" s="1"/>
  <c r="ON22" i="2" a="1"/>
  <c r="ON22" i="2" s="1"/>
  <c r="MW22" i="2" a="1"/>
  <c r="MW22" i="2" s="1"/>
  <c r="QY22" i="2" a="1"/>
  <c r="QY22" i="2" s="1"/>
  <c r="DB22" i="2" a="1"/>
  <c r="DB22" i="2" s="1"/>
  <c r="LK22" i="2" a="1"/>
  <c r="LK22" i="2" s="1"/>
  <c r="EX22" i="2" a="1"/>
  <c r="EX22" i="2" s="1"/>
  <c r="KR22" i="2" a="1"/>
  <c r="KR22" i="2" s="1"/>
  <c r="GI22" i="2" a="1"/>
  <c r="GI22" i="2" s="1"/>
  <c r="YY22" i="2" a="1"/>
  <c r="YY22" i="2" s="1"/>
  <c r="ABD22" i="2" a="1"/>
  <c r="ABD22" i="2" s="1"/>
  <c r="EF22" i="2" a="1"/>
  <c r="EF22" i="2" s="1"/>
  <c r="EL22" i="2" a="1"/>
  <c r="EL22" i="2" s="1"/>
  <c r="TH22" i="2" a="1"/>
  <c r="TH22" i="2" s="1"/>
  <c r="TQ22" i="2" a="1"/>
  <c r="TQ22" i="2" s="1"/>
  <c r="KZ22" i="2" a="1"/>
  <c r="KZ22" i="2" s="1"/>
  <c r="AJ22" i="2" a="1"/>
  <c r="AJ22" i="2" s="1"/>
  <c r="ZX22" i="2" a="1"/>
  <c r="ZX22" i="2" s="1"/>
  <c r="UN22" i="2" a="1"/>
  <c r="UN22" i="2" s="1"/>
  <c r="FG22" i="2" a="1"/>
  <c r="FG22" i="2" s="1"/>
  <c r="LC22" i="2" a="1"/>
  <c r="LC22" i="2" s="1"/>
  <c r="OS22" i="2" a="1"/>
  <c r="OS22" i="2" s="1"/>
  <c r="CM22" i="2" a="1"/>
  <c r="CM22" i="2" s="1"/>
  <c r="UW22" i="2" a="1"/>
  <c r="UW22" i="2" s="1"/>
  <c r="SV22" i="2" a="1"/>
  <c r="SV22" i="2" s="1"/>
  <c r="TS22" i="2" a="1"/>
  <c r="TS22" i="2" s="1"/>
  <c r="AAC22" i="2" a="1"/>
  <c r="AAC22" i="2" s="1"/>
  <c r="AAN22" i="2" a="1"/>
  <c r="AAN22" i="2" s="1"/>
  <c r="KD22" i="2" a="1"/>
  <c r="KD22" i="2" s="1"/>
  <c r="AR22" i="2" a="1"/>
  <c r="AR22" i="2" s="1"/>
  <c r="GH22" i="2" a="1"/>
  <c r="GH22" i="2" s="1"/>
  <c r="DR22" i="2" a="1"/>
  <c r="DR22" i="2" s="1"/>
  <c r="YV22" i="2" a="1"/>
  <c r="YV22" i="2" s="1"/>
  <c r="AL22" i="2" a="1"/>
  <c r="AL22" i="2" s="1"/>
  <c r="LQ22" i="2" a="1"/>
  <c r="LQ22" i="2" s="1"/>
  <c r="ID22" i="2" a="1"/>
  <c r="ID22" i="2" s="1"/>
  <c r="HX22" i="2" a="1"/>
  <c r="HX22" i="2" s="1"/>
  <c r="OY22" i="2" a="1"/>
  <c r="OY22" i="2" s="1"/>
  <c r="ABL22" i="2" a="1"/>
  <c r="ABL22" i="2" s="1"/>
  <c r="PG22" i="2" a="1"/>
  <c r="PG22" i="2" s="1"/>
  <c r="LA22" i="2" a="1"/>
  <c r="LA22" i="2" s="1"/>
  <c r="DO22" i="2" a="1"/>
  <c r="DO22" i="2" s="1"/>
  <c r="IS22" i="2" a="1"/>
  <c r="IS22" i="2" s="1"/>
  <c r="AE22" i="2" a="1"/>
  <c r="AE22" i="2" s="1"/>
  <c r="DJ22" i="2" a="1"/>
  <c r="DJ22" i="2" s="1"/>
  <c r="ACX22" i="2" a="1"/>
  <c r="ACX22" i="2" s="1"/>
  <c r="AAB22" i="2" a="1"/>
  <c r="AAB22" i="2" s="1"/>
  <c r="QE22" i="2" a="1"/>
  <c r="QE22" i="2" s="1"/>
  <c r="CF22" i="2" a="1"/>
  <c r="CF22" i="2" s="1"/>
  <c r="DF22" i="2" a="1"/>
  <c r="DF22" i="2" s="1"/>
  <c r="LE22" i="2" a="1"/>
  <c r="LE22" i="2" s="1"/>
  <c r="FV22" i="2" a="1"/>
  <c r="FV22" i="2" s="1"/>
  <c r="OG22" i="2" a="1"/>
  <c r="OG22" i="2" s="1"/>
  <c r="JR22" i="2" a="1"/>
  <c r="JR22" i="2" s="1"/>
  <c r="ABS22" i="2" a="1"/>
  <c r="ABS22" i="2" s="1"/>
  <c r="QZ22" i="2" a="1"/>
  <c r="QZ22" i="2" s="1"/>
  <c r="PD22" i="2" a="1"/>
  <c r="PD22" i="2" s="1"/>
  <c r="JP22" i="2" a="1"/>
  <c r="JP22" i="2" s="1"/>
  <c r="NX22" i="2" a="1"/>
  <c r="NX22" i="2" s="1"/>
  <c r="ABZ22" i="2" a="1"/>
  <c r="ABZ22" i="2" s="1"/>
  <c r="QU22" i="2" a="1"/>
  <c r="QU22" i="2" s="1"/>
  <c r="VG22" i="2" a="1"/>
  <c r="VG22" i="2" s="1"/>
  <c r="LN22" i="2" a="1"/>
  <c r="LN22" i="2" s="1"/>
  <c r="ABJ22" i="2" a="1"/>
  <c r="ABJ22" i="2" s="1"/>
  <c r="UI22" i="2" a="1"/>
  <c r="UI22" i="2" s="1"/>
  <c r="ML22" i="2" a="1"/>
  <c r="ML22" i="2" s="1"/>
  <c r="TG22" i="2" a="1"/>
  <c r="TG22" i="2" s="1"/>
  <c r="HH22" i="2" a="1"/>
  <c r="HH22" i="2" s="1"/>
  <c r="AAD22" i="2" a="1"/>
  <c r="AAD22" i="2" s="1"/>
  <c r="CZ22" i="2" a="1"/>
  <c r="CZ22" i="2" s="1"/>
  <c r="QI22" i="2" a="1"/>
  <c r="QI22" i="2" s="1"/>
  <c r="ABE22" i="2" a="1"/>
  <c r="ABE22" i="2" s="1"/>
  <c r="TZ22" i="2" a="1"/>
  <c r="TZ22" i="2" s="1"/>
  <c r="PZ22" i="2" a="1"/>
  <c r="PZ22" i="2" s="1"/>
  <c r="ADF22" i="2" a="1"/>
  <c r="ADF22" i="2" s="1"/>
  <c r="LV22" i="2" a="1"/>
  <c r="LV22" i="2" s="1"/>
  <c r="CJ22" i="2" a="1"/>
  <c r="CJ22" i="2" s="1"/>
  <c r="DX22" i="2" a="1"/>
  <c r="DX22" i="2" s="1"/>
  <c r="UH22" i="2" a="1"/>
  <c r="UH22" i="2" s="1"/>
  <c r="FH22" i="2" a="1"/>
  <c r="FH22" i="2" s="1"/>
  <c r="SU22" i="2" a="1"/>
  <c r="SU22" i="2" s="1"/>
  <c r="EU22" i="2" a="1"/>
  <c r="EU22" i="2" s="1"/>
  <c r="ADC22" i="2" a="1"/>
  <c r="ADC22" i="2" s="1"/>
  <c r="UU22" i="2" a="1"/>
  <c r="UU22" i="2" s="1"/>
  <c r="SL22" i="2" a="1"/>
  <c r="SL22" i="2" s="1"/>
  <c r="IL22" i="2" a="1"/>
  <c r="IL22" i="2" s="1"/>
  <c r="XB22" i="2" a="1"/>
  <c r="XB22" i="2" s="1"/>
  <c r="ZF22" i="2" a="1"/>
  <c r="ZF22" i="2" s="1"/>
  <c r="OL22" i="2" a="1"/>
  <c r="OL22" i="2" s="1"/>
  <c r="RE22" i="2" a="1"/>
  <c r="RE22" i="2" s="1"/>
  <c r="TO22" i="2" a="1"/>
  <c r="TO22" i="2" s="1"/>
  <c r="OQ22" i="2" a="1"/>
  <c r="OQ22" i="2" s="1"/>
  <c r="AH22" i="2" a="1"/>
  <c r="AH22" i="2" s="1"/>
  <c r="GL22" i="2" a="1"/>
  <c r="GL22" i="2" s="1"/>
  <c r="RU22" i="2" a="1"/>
  <c r="RU22" i="2" s="1"/>
  <c r="KU22" i="2" a="1"/>
  <c r="KU22" i="2" s="1"/>
  <c r="KI22" i="2" a="1"/>
  <c r="KI22" i="2" s="1"/>
  <c r="WY22" i="2" a="1"/>
  <c r="WY22" i="2" s="1"/>
  <c r="AN22" i="2" a="1"/>
  <c r="AN22" i="2" s="1"/>
  <c r="ACG22" i="2" a="1"/>
  <c r="ACG22" i="2" s="1"/>
  <c r="UD22" i="2" a="1"/>
  <c r="UD22" i="2" s="1"/>
  <c r="CN22" i="2" a="1"/>
  <c r="CN22" i="2" s="1"/>
  <c r="AAZ22" i="2" a="1"/>
  <c r="AAZ22" i="2" s="1"/>
  <c r="EI22" i="2" a="1"/>
  <c r="EI22" i="2" s="1"/>
  <c r="LW22" i="2" a="1"/>
  <c r="LW22" i="2" s="1"/>
  <c r="CL22" i="2" a="1"/>
  <c r="CL22" i="2" s="1"/>
  <c r="YP22" i="2" a="1"/>
  <c r="YP22" i="2" s="1"/>
  <c r="DU22" i="2" a="1"/>
  <c r="DU22" i="2" s="1"/>
  <c r="TE22" i="2" a="1"/>
  <c r="TE22" i="2" s="1"/>
  <c r="UL22" i="2" a="1"/>
  <c r="UL22" i="2" s="1"/>
  <c r="RD22" i="2" a="1"/>
  <c r="RD22" i="2" s="1"/>
  <c r="GE22" i="2" a="1"/>
  <c r="GE22" i="2" s="1"/>
  <c r="ABX22" i="2" a="1"/>
  <c r="ABX22" i="2" s="1"/>
  <c r="LZ22" i="2" a="1"/>
  <c r="LZ22" i="2" s="1"/>
  <c r="CH22" i="2" a="1"/>
  <c r="CH22" i="2" s="1"/>
  <c r="HG22" i="2" a="1"/>
  <c r="HG22" i="2" s="1"/>
  <c r="RO22" i="2" a="1"/>
  <c r="RO22" i="2" s="1"/>
  <c r="ACI22" i="2" a="1"/>
  <c r="ACI22" i="2" s="1"/>
  <c r="XH22" i="2" a="1"/>
  <c r="XH22" i="2" s="1"/>
  <c r="TU22" i="2" a="1"/>
  <c r="TU22" i="2" s="1"/>
  <c r="RK22" i="2" a="1"/>
  <c r="RK22" i="2" s="1"/>
  <c r="GB22" i="2" a="1"/>
  <c r="GB22" i="2" s="1"/>
  <c r="EV22" i="2" a="1"/>
  <c r="EV22" i="2" s="1"/>
  <c r="HB22" i="2" a="1"/>
  <c r="HB22" i="2" s="1"/>
  <c r="UK22" i="2" a="1"/>
  <c r="UK22" i="2" s="1"/>
  <c r="PR22" i="2" a="1"/>
  <c r="PR22" i="2" s="1"/>
  <c r="FA22" i="2" a="1"/>
  <c r="FA22" i="2" s="1"/>
  <c r="HL22" i="2" a="1"/>
  <c r="HL22" i="2" s="1"/>
  <c r="MK22" i="2" a="1"/>
  <c r="MK22" i="2" s="1"/>
  <c r="HU22" i="2" a="1"/>
  <c r="HU22" i="2" s="1"/>
  <c r="FS22" i="2" a="1"/>
  <c r="FS22" i="2" s="1"/>
  <c r="UV22" i="2" a="1"/>
  <c r="UV22" i="2" s="1"/>
  <c r="WA22" i="2" a="1"/>
  <c r="WA22" i="2" s="1"/>
  <c r="RW22" i="2" a="1"/>
  <c r="RW22" i="2" s="1"/>
  <c r="AAX22" i="2" a="1"/>
  <c r="AAX22" i="2" s="1"/>
  <c r="KO22" i="2" a="1"/>
  <c r="KO22" i="2" s="1"/>
  <c r="RM22" i="2" a="1"/>
  <c r="RM22" i="2" s="1"/>
  <c r="QW22" i="2" a="1"/>
  <c r="QW22" i="2" s="1"/>
  <c r="HQ22" i="2" a="1"/>
  <c r="HQ22" i="2" s="1"/>
  <c r="IE22" i="2" a="1"/>
  <c r="IE22" i="2" s="1"/>
  <c r="LI22" i="2" a="1"/>
  <c r="LI22" i="2" s="1"/>
  <c r="NO22" i="2" a="1"/>
  <c r="NO22" i="2" s="1"/>
  <c r="OH22" i="2" a="1"/>
  <c r="OH22" i="2" s="1"/>
  <c r="QN22" i="2" a="1"/>
  <c r="QN22" i="2" s="1"/>
  <c r="PS22" i="2" a="1"/>
  <c r="PS22" i="2" s="1"/>
  <c r="QJ22" i="2" a="1"/>
  <c r="QJ22" i="2" s="1"/>
  <c r="ZM22" i="2" a="1"/>
  <c r="ZM22" i="2" s="1"/>
  <c r="JO22" i="2" a="1"/>
  <c r="JO22" i="2" s="1"/>
  <c r="VS22" i="2" a="1"/>
  <c r="VS22" i="2" s="1"/>
  <c r="KN22" i="2" a="1"/>
  <c r="KN22" i="2" s="1"/>
  <c r="ABC22" i="2" a="1"/>
  <c r="ABC22" i="2" s="1"/>
  <c r="HT22" i="2" a="1"/>
  <c r="HT22" i="2" s="1"/>
  <c r="PF22" i="2" a="1"/>
  <c r="PF22" i="2" s="1"/>
  <c r="MG22" i="2" a="1"/>
  <c r="MG22" i="2" s="1"/>
  <c r="AAL22" i="2" a="1"/>
  <c r="AAL22" i="2" s="1"/>
  <c r="KA22" i="2" a="1"/>
  <c r="KA22" i="2" s="1"/>
  <c r="UA22" i="2" a="1"/>
  <c r="UA22" i="2" s="1"/>
  <c r="UX22" i="2" a="1"/>
  <c r="UX22" i="2" s="1"/>
  <c r="MM22" i="2" a="1"/>
  <c r="MM22" i="2" s="1"/>
  <c r="UR22" i="2" a="1"/>
  <c r="UR22" i="2" s="1"/>
  <c r="PW22" i="2" a="1"/>
  <c r="PW22" i="2" s="1"/>
  <c r="ZG22" i="2" a="1"/>
  <c r="ZG22" i="2" s="1"/>
  <c r="ACR22" i="2" a="1"/>
  <c r="ACR22" i="2" s="1"/>
  <c r="PN22" i="2" a="1"/>
  <c r="PN22" i="2" s="1"/>
  <c r="EA22" i="2" a="1"/>
  <c r="EA22" i="2" s="1"/>
  <c r="CG22" i="2" a="1"/>
  <c r="CG22" i="2" s="1"/>
  <c r="CU22" i="2" a="1"/>
  <c r="CU22" i="2" s="1"/>
  <c r="UG22" i="2" a="1"/>
  <c r="UG22" i="2" s="1"/>
  <c r="ACV22" i="2" a="1"/>
  <c r="ACV22" i="2" s="1"/>
  <c r="CQ22" i="2" a="1"/>
  <c r="CQ22" i="2" s="1"/>
  <c r="GF22" i="2" a="1"/>
  <c r="GF22" i="2" s="1"/>
  <c r="TP22" i="2" a="1"/>
  <c r="TP22" i="2" s="1"/>
  <c r="KX22" i="2" a="1"/>
  <c r="KX22" i="2" s="1"/>
  <c r="GJ22" i="2" a="1"/>
  <c r="GJ22" i="2" s="1"/>
  <c r="UZ22" i="2" a="1"/>
  <c r="UZ22" i="2" s="1"/>
  <c r="BV22" i="2" a="1"/>
  <c r="BV22" i="2" s="1"/>
  <c r="PI22" i="2" a="1"/>
  <c r="PI22" i="2" s="1"/>
  <c r="HO22" i="2" a="1"/>
  <c r="HO22" i="2" s="1"/>
  <c r="AQ22" i="2" a="1"/>
  <c r="AQ22" i="2" s="1"/>
  <c r="WR22" i="2" a="1"/>
  <c r="WR22" i="2" s="1"/>
  <c r="WK22" i="2" a="1"/>
  <c r="WK22" i="2" s="1"/>
  <c r="ZA22" i="2" a="1"/>
  <c r="ZA22" i="2" s="1"/>
  <c r="VO22" i="2" a="1"/>
  <c r="VO22" i="2" s="1"/>
  <c r="NA22" i="2" a="1"/>
  <c r="NA22" i="2" s="1"/>
  <c r="EP22" i="2" a="1"/>
  <c r="EP22" i="2" s="1"/>
  <c r="CW22" i="2" a="1"/>
  <c r="CW22" i="2" s="1"/>
  <c r="AT22" i="2" a="1"/>
  <c r="AT22" i="2" s="1"/>
  <c r="IX22" i="2" a="1"/>
  <c r="IX22" i="2" s="1"/>
  <c r="NI22" i="2" a="1"/>
  <c r="NI22" i="2" s="1"/>
  <c r="OP22" i="2" a="1"/>
  <c r="OP22" i="2" s="1"/>
  <c r="GZ22" i="2" a="1"/>
  <c r="GZ22" i="2" s="1"/>
  <c r="SW22" i="2" a="1"/>
  <c r="SW22" i="2" s="1"/>
  <c r="RY22" i="2" a="1"/>
  <c r="RY22" i="2" s="1"/>
  <c r="PJ22" i="2" a="1"/>
  <c r="PJ22" i="2" s="1"/>
  <c r="AO22" i="2" a="1"/>
  <c r="AO22" i="2" s="1"/>
  <c r="IV22" i="2" a="1"/>
  <c r="IV22" i="2" s="1"/>
  <c r="AAO22" i="2" a="1"/>
  <c r="AAO22" i="2" s="1"/>
  <c r="YA22" i="2" a="1"/>
  <c r="YA22" i="2" s="1"/>
  <c r="SQ22" i="2" a="1"/>
  <c r="SQ22" i="2" s="1"/>
  <c r="JZ22" i="2" a="1"/>
  <c r="JZ22" i="2" s="1"/>
  <c r="BF22" i="2" a="1"/>
  <c r="BF22" i="2" s="1"/>
  <c r="MF22" i="2" a="1"/>
  <c r="MF22" i="2" s="1"/>
  <c r="ABF22" i="2" a="1"/>
  <c r="ABF22" i="2" s="1"/>
  <c r="XS22" i="2" a="1"/>
  <c r="XS22" i="2" s="1"/>
  <c r="ABR22" i="2" a="1"/>
  <c r="ABR22" i="2" s="1"/>
  <c r="DH22" i="2" a="1"/>
  <c r="DH22" i="2" s="1"/>
  <c r="ABU22" i="2" a="1"/>
  <c r="ABU22" i="2" s="1"/>
  <c r="ZU22" i="2" a="1"/>
  <c r="ZU22" i="2" s="1"/>
  <c r="PP22" i="2" a="1"/>
  <c r="PP22" i="2" s="1"/>
  <c r="FI22" i="2" a="1"/>
  <c r="FI22" i="2" s="1"/>
  <c r="DW22" i="2" a="1"/>
  <c r="DW22" i="2" s="1"/>
  <c r="BS22" i="2" a="1"/>
  <c r="BS22" i="2" s="1"/>
  <c r="ZI22" i="2" a="1"/>
  <c r="ZI22" i="2" s="1"/>
  <c r="FU22" i="2" a="1"/>
  <c r="FU22" i="2" s="1"/>
  <c r="JY22" i="2" a="1"/>
  <c r="JY22" i="2" s="1"/>
  <c r="FB22" i="2" a="1"/>
  <c r="FB22" i="2" s="1"/>
  <c r="EQ22" i="2" a="1"/>
  <c r="EQ22" i="2" s="1"/>
  <c r="RR22" i="2" a="1"/>
  <c r="RR22" i="2" s="1"/>
  <c r="RG22" i="2" a="1"/>
  <c r="RG22" i="2" s="1"/>
  <c r="EH22" i="2" a="1"/>
  <c r="EH22" i="2" s="1"/>
  <c r="HK22" i="2" a="1"/>
  <c r="HK22" i="2" s="1"/>
  <c r="IN22" i="2" a="1"/>
  <c r="IN22" i="2" s="1"/>
  <c r="BY22" i="2" a="1"/>
  <c r="BY22" i="2" s="1"/>
  <c r="BU22" i="2" a="1"/>
  <c r="BU22" i="2" s="1"/>
  <c r="WO22" i="2" a="1"/>
  <c r="WO22" i="2" s="1"/>
  <c r="DQ22" i="2" a="1"/>
  <c r="DQ22" i="2" s="1"/>
  <c r="LG22" i="2" a="1"/>
  <c r="LG22" i="2" s="1"/>
  <c r="XZ22" i="2" a="1"/>
  <c r="XZ22" i="2" s="1"/>
  <c r="RV22" i="2" a="1"/>
  <c r="RV22" i="2" s="1"/>
  <c r="JF22" i="2" a="1"/>
  <c r="JF22" i="2" s="1"/>
  <c r="TX22" i="2" a="1"/>
  <c r="TX22" i="2" s="1"/>
  <c r="XR22" i="2" a="1"/>
  <c r="XR22" i="2" s="1"/>
  <c r="FT22" i="2" a="1"/>
  <c r="FT22" i="2" s="1"/>
  <c r="AAW22" i="2" a="1"/>
  <c r="AAW22" i="2" s="1"/>
  <c r="HA22" i="2" a="1"/>
  <c r="HA22" i="2" s="1"/>
  <c r="QT22" i="2" a="1"/>
  <c r="QT22" i="2" s="1"/>
  <c r="NK22" i="2" a="1"/>
  <c r="NK22" i="2" s="1"/>
  <c r="QD22" i="2" a="1"/>
  <c r="QD22" i="2" s="1"/>
  <c r="CP22" i="2" a="1"/>
  <c r="CP22" i="2" s="1"/>
  <c r="KB22" i="2" a="1"/>
  <c r="KB22" i="2" s="1"/>
  <c r="JE22" i="2" a="1"/>
  <c r="JE22" i="2" s="1"/>
  <c r="TV22" i="2" a="1"/>
  <c r="TV22" i="2" s="1"/>
  <c r="FY22" i="2" a="1"/>
  <c r="FY22" i="2" s="1"/>
  <c r="ZJ22" i="2" a="1"/>
  <c r="ZJ22" i="2" s="1"/>
  <c r="WW22" i="2" a="1"/>
  <c r="WW22" i="2" s="1"/>
  <c r="VM22" i="2" a="1"/>
  <c r="VM22" i="2" s="1"/>
  <c r="NR22" i="2" a="1"/>
  <c r="NR22" i="2" s="1"/>
  <c r="ZT22" i="2" a="1"/>
  <c r="ZT22" i="2" s="1"/>
  <c r="HM22" i="2" a="1"/>
  <c r="HM22" i="2" s="1"/>
  <c r="YN22" i="2" a="1"/>
  <c r="YN22" i="2" s="1"/>
  <c r="EZ22" i="2" a="1"/>
  <c r="EZ22" i="2" s="1"/>
  <c r="KV22" i="2" a="1"/>
  <c r="KV22" i="2" s="1"/>
  <c r="IK22" i="2" a="1"/>
  <c r="IK22" i="2" s="1"/>
  <c r="ES22" i="2" a="1"/>
  <c r="ES22" i="2" s="1"/>
  <c r="KM22" i="2" a="1"/>
  <c r="KM22" i="2" s="1"/>
  <c r="DL22" i="2" a="1"/>
  <c r="DL22" i="2" s="1"/>
  <c r="JU22" i="2" a="1"/>
  <c r="JU22" i="2" s="1"/>
  <c r="GT22" i="2" a="1"/>
  <c r="GT22" i="2" s="1"/>
  <c r="SC22" i="2" a="1"/>
  <c r="SC22" i="2" s="1"/>
  <c r="PU22" i="2" a="1"/>
  <c r="PU22" i="2" s="1"/>
  <c r="EE22" i="2" a="1"/>
  <c r="EE22" i="2" s="1"/>
  <c r="AAG22" i="2" a="1"/>
  <c r="AAG22" i="2" s="1"/>
  <c r="EO22" i="2" a="1"/>
  <c r="EO22" i="2" s="1"/>
  <c r="YG22" i="2" a="1"/>
  <c r="YG22" i="2" s="1"/>
  <c r="OZ22" i="2" a="1"/>
  <c r="OZ22" i="2" s="1"/>
  <c r="OO22" i="2" a="1"/>
  <c r="OO22" i="2" s="1"/>
  <c r="TT22" i="2" a="1"/>
  <c r="TT22" i="2" s="1"/>
  <c r="BD22" i="2" a="1"/>
  <c r="BD22" i="2" s="1"/>
  <c r="OB22" i="2" a="1"/>
  <c r="OB22" i="2" s="1"/>
  <c r="ZK22" i="2" a="1"/>
  <c r="ZK22" i="2" s="1"/>
  <c r="IO22" i="2" a="1"/>
  <c r="IO22" i="2" s="1"/>
  <c r="FK22" i="2" a="1"/>
  <c r="FK22" i="2" s="1"/>
  <c r="TJ22" i="2" a="1"/>
  <c r="TJ22" i="2" s="1"/>
  <c r="MZ22" i="2" a="1"/>
  <c r="MZ22" i="2" s="1"/>
  <c r="NL22" i="2" a="1"/>
  <c r="NL22" i="2" s="1"/>
  <c r="AAE22" i="2" a="1"/>
  <c r="AAE22" i="2" s="1"/>
  <c r="RA22" i="2" a="1"/>
  <c r="RA22" i="2" s="1"/>
  <c r="FF22" i="2" a="1"/>
  <c r="FF22" i="2" s="1"/>
  <c r="ACM22" i="2" a="1"/>
  <c r="ACM22" i="2" s="1"/>
  <c r="BI22" i="2" a="1"/>
  <c r="BI22" i="2" s="1"/>
  <c r="KE22" i="2" a="1"/>
  <c r="KE22" i="2" s="1"/>
  <c r="TL22" i="2" a="1"/>
  <c r="TL22" i="2" s="1"/>
  <c r="ZB22" i="2" a="1"/>
  <c r="ZB22" i="2" s="1"/>
  <c r="KK22" i="2" a="1"/>
  <c r="KK22" i="2" s="1"/>
  <c r="BJ22" i="2" a="1"/>
  <c r="BJ22" i="2" s="1"/>
  <c r="JV22" i="2" a="1"/>
  <c r="JV22" i="2" s="1"/>
  <c r="WI22" i="2" a="1"/>
  <c r="WI22" i="2" s="1"/>
  <c r="LP22" i="2" a="1"/>
  <c r="LP22" i="2" s="1"/>
  <c r="EB22" i="2" a="1"/>
  <c r="EB22" i="2" s="1"/>
  <c r="SH22" i="2" a="1"/>
  <c r="SH22" i="2" s="1"/>
  <c r="JH22" i="2" a="1"/>
  <c r="JH22" i="2" s="1"/>
  <c r="ABN22" i="2" a="1"/>
  <c r="ABN22" i="2" s="1"/>
  <c r="TM22" i="2" a="1"/>
  <c r="TM22" i="2" s="1"/>
  <c r="AAI22" i="2" a="1"/>
  <c r="AAI22" i="2" s="1"/>
  <c r="EC22" i="2" a="1"/>
  <c r="EC22" i="2" s="1"/>
  <c r="HC22" i="2" a="1"/>
  <c r="HC22" i="2" s="1"/>
  <c r="ABV22" i="2" a="1"/>
  <c r="ABV22" i="2" s="1"/>
  <c r="ND22" i="2" a="1"/>
  <c r="ND22" i="2" s="1"/>
  <c r="ACT22" i="2" a="1"/>
  <c r="ACT22" i="2" s="1"/>
  <c r="CA22" i="2" a="1"/>
  <c r="CA22" i="2" s="1"/>
  <c r="CV22" i="2" a="1"/>
  <c r="CV22" i="2" s="1"/>
  <c r="VI22" i="2" a="1"/>
  <c r="VI22" i="2" s="1"/>
  <c r="ZO22" i="2" a="1"/>
  <c r="ZO22" i="2" s="1"/>
  <c r="X27" i="3"/>
  <c r="X28" i="3" l="1"/>
  <c r="Y28" i="3"/>
  <c r="H29" i="3"/>
  <c r="G30" i="3" s="1"/>
  <c r="Q29" i="3"/>
  <c r="T29" i="3" s="1"/>
  <c r="V29" i="3" s="1"/>
  <c r="D7" i="3"/>
  <c r="X29" i="3" l="1"/>
  <c r="Y29" i="3"/>
  <c r="Q30" i="3"/>
  <c r="T30" i="3" s="1"/>
  <c r="V30" i="3" s="1"/>
  <c r="H30" i="3"/>
  <c r="G31" i="3" s="1"/>
  <c r="Y30" i="3" l="1"/>
  <c r="X30" i="3"/>
  <c r="Q31" i="3"/>
  <c r="T31" i="3" s="1"/>
  <c r="V31" i="3" s="1"/>
  <c r="H31" i="3"/>
  <c r="G32" i="3" s="1"/>
  <c r="Q32" i="3" l="1"/>
  <c r="T32" i="3" s="1"/>
  <c r="V32" i="3" s="1"/>
  <c r="H32" i="3"/>
  <c r="G33" i="3" s="1"/>
  <c r="Y31" i="3"/>
  <c r="X31" i="3"/>
  <c r="X32" i="3" l="1"/>
  <c r="Y32" i="3"/>
  <c r="Q33" i="3"/>
  <c r="T33" i="3" s="1"/>
  <c r="V33" i="3" s="1"/>
  <c r="X33" i="3" s="1"/>
  <c r="H33" i="3"/>
  <c r="G34" i="3" s="1"/>
  <c r="Q34" i="3" l="1"/>
  <c r="H34" i="3"/>
  <c r="G35" i="3" s="1"/>
  <c r="Y33" i="3"/>
  <c r="T34" i="3" l="1"/>
  <c r="V34" i="3" s="1"/>
  <c r="Q35" i="3"/>
  <c r="T35" i="3" s="1"/>
  <c r="V35" i="3" s="1"/>
  <c r="Y35" i="3" s="1"/>
  <c r="H35" i="3"/>
  <c r="Y34" i="3" l="1"/>
  <c r="X34" i="3"/>
  <c r="Q37" i="3"/>
  <c r="Q38" i="3" s="1"/>
  <c r="T37" i="3"/>
  <c r="N41" i="3" s="1"/>
  <c r="K41" i="3" s="1"/>
  <c r="H41" i="3" s="1"/>
  <c r="X35" i="3"/>
  <c r="X37" i="3" l="1"/>
  <c r="K43" i="3"/>
  <c r="H43" i="3" s="1"/>
  <c r="V37" i="3"/>
  <c r="U38" i="3" s="1"/>
  <c r="R38" i="3"/>
  <c r="N43" i="3"/>
  <c r="H44" i="3" l="1"/>
  <c r="O22" i="3"/>
  <c r="Y37" i="3"/>
  <c r="N4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2ED0FA-126C-4BB2-B8D9-AE3E152A658E}" keepAlive="1" name="Query - Extra fare price" description="Connection to the 'Extra fare price' query in the workbook." type="5" refreshedVersion="8" background="1" saveData="1">
    <dbPr connection="Provider=Microsoft.Mashup.OleDb.1;Data Source=$Workbook$;Location=&quot;Extra fare price&quot;;Extended Properties=&quot;&quot;" command="SELECT * FROM [Extra fare price]"/>
  </connection>
  <connection id="2" xr16:uid="{E8384EAA-163C-41DD-8F45-76B8CE6FBDF4}" keepAlive="1" name="Query - Price" description="Connection to the 'Price' query in the workbook." type="5" refreshedVersion="8" background="1" saveData="1">
    <dbPr connection="Provider=Microsoft.Mashup.OleDb.1;Data Source=$Workbook$;Location=Price;Extended Properties=&quot;&quot;" command="SELECT * FROM [Price]"/>
  </connection>
  <connection id="3" xr16:uid="{5B6AAC5B-7EB1-4CA5-BE5F-1949C78E60E1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<sst xmlns="http://schemas.openxmlformats.org/spreadsheetml/2006/main" count="2435" uniqueCount="1271">
  <si>
    <t xml:space="preserve">Destination </t>
  </si>
  <si>
    <t>Hotel Code</t>
  </si>
  <si>
    <t xml:space="preserve">Hotel / Resort Name </t>
  </si>
  <si>
    <t>Room Type</t>
  </si>
  <si>
    <t>Hotecode</t>
  </si>
  <si>
    <t>Hotel Name</t>
  </si>
  <si>
    <t>Travel Itinerary</t>
  </si>
  <si>
    <t xml:space="preserve">Welcome to Ghumo Firoo! </t>
  </si>
  <si>
    <t xml:space="preserve">Please find below details for your trip and feel free to call me at +91-9910987264.
</t>
  </si>
  <si>
    <t>Query Details</t>
  </si>
  <si>
    <t xml:space="preserve">#Booking Code </t>
  </si>
  <si>
    <t>Q/25/979949</t>
  </si>
  <si>
    <t>Total Guests</t>
  </si>
  <si>
    <t>Pick Up City</t>
  </si>
  <si>
    <t>Drop City</t>
  </si>
  <si>
    <t>Destination Covered</t>
  </si>
  <si>
    <t>Occupancy Type</t>
  </si>
  <si>
    <t>Triple</t>
  </si>
  <si>
    <t>Meal Plan</t>
  </si>
  <si>
    <t>Cab Type</t>
  </si>
  <si>
    <t>City</t>
  </si>
  <si>
    <t>Check-In</t>
  </si>
  <si>
    <t>Check-Out</t>
  </si>
  <si>
    <t>Nights</t>
  </si>
  <si>
    <t>Rooms</t>
  </si>
  <si>
    <t>Total Cost</t>
  </si>
  <si>
    <t>INDEX(Sheet1!$B$3:$D$7,0,MATCH(Sheet1!$B$11,Heading,0))</t>
  </si>
  <si>
    <t>Double</t>
  </si>
  <si>
    <t>Total Price</t>
  </si>
  <si>
    <t>Balance</t>
  </si>
  <si>
    <t>Passanger Type</t>
  </si>
  <si>
    <t>Triple EP</t>
  </si>
  <si>
    <t>Triple CP</t>
  </si>
  <si>
    <t>Triple MAP</t>
  </si>
  <si>
    <t>Double EP</t>
  </si>
  <si>
    <t>Double CP</t>
  </si>
  <si>
    <t>Double MAP</t>
  </si>
  <si>
    <t>Extra Passanger</t>
  </si>
  <si>
    <t>Extra Adult passenger</t>
  </si>
  <si>
    <t>Child without bed</t>
  </si>
  <si>
    <t xml:space="preserve">Child with bed </t>
  </si>
  <si>
    <t>Name</t>
  </si>
  <si>
    <t>Value</t>
  </si>
  <si>
    <t>Extra passenger</t>
  </si>
  <si>
    <t>Total Room Price</t>
  </si>
  <si>
    <t>1 Night/Day Price</t>
  </si>
  <si>
    <t>Package Price Details</t>
  </si>
  <si>
    <t>Pax Type</t>
  </si>
  <si>
    <t>Total Guest</t>
  </si>
  <si>
    <t>Cost Per Guest Per Night</t>
  </si>
  <si>
    <t>Grand Total Cost</t>
  </si>
  <si>
    <t>Total Adult or Child</t>
  </si>
  <si>
    <t>Packages Inclusion</t>
  </si>
  <si>
    <t>Packages Exclusion</t>
  </si>
  <si>
    <t>1. Extra Meals, Drinks &amp; things not mentioned in including.</t>
  </si>
  <si>
    <t>2. Guide / Entry Fees / Cable Car / Ropeway</t>
  </si>
  <si>
    <t>3. Adventure activities: Rafting / Bungy / Paragliding / Rope Activities / Boat Ride / Jungle Safari.</t>
  </si>
  <si>
    <t>4. Air / Train / Helicopter Tickets unless mentioned.</t>
  </si>
  <si>
    <t>5. Horse / Porter etc for Trekking.</t>
  </si>
  <si>
    <t>6. Travel &amp; Medical Insurance.</t>
  </si>
  <si>
    <t xml:space="preserve">Terms and Conditions for Sale of Tour Packages
</t>
  </si>
  <si>
    <t>1. All quotations provided by the company are subject to availability of hotel rooms/cruise cabins, services and/or flights at the time of processing the reservation. At the time of reservation, the prices might change without prior notice.</t>
  </si>
  <si>
    <t>2. All services provided by the Company are subject to full realization of payment before departure.</t>
  </si>
  <si>
    <t xml:space="preserve">3. Bookings for Travel inside 30 Days or sooner 100% Full payment required. </t>
  </si>
  <si>
    <t>4. This quote is valid till 48 hours of issuance date</t>
  </si>
  <si>
    <t>Terms and Conditions</t>
  </si>
  <si>
    <t>Markup</t>
  </si>
  <si>
    <t>Trip Duration</t>
  </si>
  <si>
    <t xml:space="preserve">Start Date </t>
  </si>
  <si>
    <t>End Date</t>
  </si>
  <si>
    <t>Final Package Amount</t>
  </si>
  <si>
    <t>Per Passenger Cost</t>
  </si>
  <si>
    <t>Total Duration of Stay</t>
  </si>
  <si>
    <t>Cost of Markup</t>
  </si>
  <si>
    <t>Advance</t>
  </si>
  <si>
    <r>
      <t>FOLLOWING YOUR DAY WISE </t>
    </r>
    <r>
      <rPr>
        <b/>
        <sz val="16"/>
        <color rgb="FF089DDD"/>
        <rFont val="Cambria"/>
        <family val="1"/>
      </rPr>
      <t>SCHEDULED ITINERARY FOR THIS TOUR.</t>
    </r>
  </si>
  <si>
    <t>Description</t>
  </si>
  <si>
    <t>Tempo 20 Seater</t>
  </si>
  <si>
    <t>Tempo 25 Seater</t>
  </si>
  <si>
    <t>Sedan 4 Seater</t>
  </si>
  <si>
    <t>Crysta 7 Seater</t>
  </si>
  <si>
    <t>Winger 12 Seater</t>
  </si>
  <si>
    <t>KINDLY NOTE ALL THE PICK UP IS ON SIC BASIS &amp;  LOCATION ARE  (Baga, Calangute, Candolim &amp; Arpora)</t>
  </si>
  <si>
    <t>Transfer Cost</t>
  </si>
  <si>
    <t>Cost of Extra Adult Passenger/Child</t>
  </si>
  <si>
    <t>https://rateonclick.com/rate</t>
  </si>
  <si>
    <t>Vehicle</t>
  </si>
  <si>
    <t>Day No.</t>
  </si>
  <si>
    <t>Title</t>
  </si>
  <si>
    <t xml:space="preserve">Day 1: </t>
  </si>
  <si>
    <t xml:space="preserve">Day 2: </t>
  </si>
  <si>
    <t xml:space="preserve">Day 3: </t>
  </si>
  <si>
    <t xml:space="preserve">Day 4: </t>
  </si>
  <si>
    <t xml:space="preserve">Day 5: </t>
  </si>
  <si>
    <t xml:space="preserve">Day 6: </t>
  </si>
  <si>
    <t xml:space="preserve">Day 7: </t>
  </si>
  <si>
    <t xml:space="preserve">Day 8: </t>
  </si>
  <si>
    <t xml:space="preserve">Day 9: </t>
  </si>
  <si>
    <t xml:space="preserve">Day 10: </t>
  </si>
  <si>
    <t>Transfers from Bhuj to Rann Utsav – The Tent City, Dhordo</t>
  </si>
  <si>
    <t>Kala Dungar &amp; Sunrise Point</t>
  </si>
  <si>
    <t>Departure &amp; Bhuj Sightseeing</t>
  </si>
  <si>
    <t>Ertiga 7 Seater</t>
  </si>
  <si>
    <t>Hotel Mangalam</t>
  </si>
  <si>
    <t xml:space="preserve">Address: - Shop No. 210, 2nd Floor, Pratap Complex, Metro Gate Number 3, near Munirka, Baba Gangnath Market, Munirka, New Delhi, Delhi 110067                                                                                       Phone: +91-9870229792, +91-9910987264 
Email: info@ghumofiroo.com </t>
  </si>
  <si>
    <t>Badarinath</t>
  </si>
  <si>
    <t>Janki Chatti</t>
  </si>
  <si>
    <t>Uttarkashi</t>
  </si>
  <si>
    <t>Hotel Santosh</t>
  </si>
  <si>
    <t>Standard</t>
  </si>
  <si>
    <t>Premium</t>
  </si>
  <si>
    <t>Budget</t>
  </si>
  <si>
    <t>Hotel Category</t>
  </si>
  <si>
    <t>Janki ChattiPremium</t>
  </si>
  <si>
    <t>Janki ChattiBudget</t>
  </si>
  <si>
    <t>Janki ChattiStandard</t>
  </si>
  <si>
    <t>Key</t>
  </si>
  <si>
    <t>Quad</t>
  </si>
  <si>
    <t>Quad EP</t>
  </si>
  <si>
    <t>Quad CP</t>
  </si>
  <si>
    <t>Quad MAP</t>
  </si>
  <si>
    <t>Price</t>
  </si>
  <si>
    <t>Remark</t>
  </si>
  <si>
    <t>2000-2500</t>
  </si>
  <si>
    <t>2500-4000</t>
  </si>
  <si>
    <t>Gaurav Hotel</t>
  </si>
  <si>
    <t>Buransh Homestay</t>
  </si>
  <si>
    <t>AP Residency</t>
  </si>
  <si>
    <t>Hotel Laxmi Palace</t>
  </si>
  <si>
    <t>Gaurav Hotel-Budget-Key</t>
  </si>
  <si>
    <t>Buransh Homestay-Budget-Key</t>
  </si>
  <si>
    <t>AP Residency-Standard-Key</t>
  </si>
  <si>
    <t>AP Residency-Standard-Double EP</t>
  </si>
  <si>
    <t>AP Residency-Standard-Double CP</t>
  </si>
  <si>
    <t>AP Residency-Standard-Double MAP</t>
  </si>
  <si>
    <t>AP Residency-Standard-Triple EP</t>
  </si>
  <si>
    <t>AP Residency-Standard-Triple CP</t>
  </si>
  <si>
    <t>AP Residency-Standard-Triple MAP</t>
  </si>
  <si>
    <t>AP Residency-Standard-Quad EP</t>
  </si>
  <si>
    <t>AP Residency-Standard-Quad MAP</t>
  </si>
  <si>
    <t>AP Residency-Standard-Quad CP</t>
  </si>
  <si>
    <t>Hotel Laxmi Palace-Standard-Key</t>
  </si>
  <si>
    <t>Hotel Laxmi Palace-Standard-Double EP</t>
  </si>
  <si>
    <t>Hotel Laxmi Palace-Standard-Double CP</t>
  </si>
  <si>
    <t>Hotel Laxmi Palace-Standard-Double MAP</t>
  </si>
  <si>
    <t>Hotel Laxmi Palace-Standard-Triple EP</t>
  </si>
  <si>
    <t>Hotel Laxmi Palace-Standard-Triple CP</t>
  </si>
  <si>
    <t>Hotel Laxmi Palace-Standard-Triple MAP</t>
  </si>
  <si>
    <t>Hotel Laxmi Palace-Standard-Quad EP</t>
  </si>
  <si>
    <t>Hotel Laxmi Palace-Standard-Quad MAP</t>
  </si>
  <si>
    <t>Hotel Laxmi Palace-Standard-Quad CP</t>
  </si>
  <si>
    <t>Yamunotri Cottages (Classic)</t>
  </si>
  <si>
    <t>Yamunotri Cottages (Luxury Pine)</t>
  </si>
  <si>
    <t>Kedarnath</t>
  </si>
  <si>
    <t>Rudra Camp Kedarnath</t>
  </si>
  <si>
    <t>Rudra Hotel</t>
  </si>
  <si>
    <t>Hotel New Pandey Inn</t>
  </si>
  <si>
    <t>Parmeshwari Kedarnath (Only 20mts Kedarnath Temple)</t>
  </si>
  <si>
    <t>Blessings Resort Deluxe Cottages (Mountain
view with private balcony)</t>
  </si>
  <si>
    <t>Blessings Resort Luxury Cottages
(Mountain &amp; River view
with private balcony)</t>
  </si>
  <si>
    <t>Blessings Resort Family Cottages (Mountain view with private balcony)</t>
  </si>
  <si>
    <t>Blessings Resort Dormitory</t>
  </si>
  <si>
    <t>Hotel Ankit Palace</t>
  </si>
  <si>
    <t>Hotel Sravasti</t>
  </si>
  <si>
    <t xml:space="preserve">Hotel maharishi </t>
  </si>
  <si>
    <t>Shivlinga Resort</t>
  </si>
  <si>
    <t>Maa Saraswati Hotel</t>
  </si>
  <si>
    <t xml:space="preserve">Hotel Sahaj Villa </t>
  </si>
  <si>
    <t>Osho Zenganga Commune</t>
  </si>
  <si>
    <t>Hotel Narayan Palace</t>
  </si>
  <si>
    <t>Sonprayag</t>
  </si>
  <si>
    <t xml:space="preserve">Shri Narayan Touris Lodge &amp; Chandica Hotel </t>
  </si>
  <si>
    <t xml:space="preserve">Kailashpati Resort </t>
  </si>
  <si>
    <t>Sitapur</t>
  </si>
  <si>
    <t>Hotel Blue Pine</t>
  </si>
  <si>
    <t>Phulwari Resort</t>
  </si>
  <si>
    <t>Namami Gange</t>
  </si>
  <si>
    <t>Abhishek Hotel</t>
  </si>
  <si>
    <t>Shiv Manohar</t>
  </si>
  <si>
    <t>Rudraprayag</t>
  </si>
  <si>
    <t>Hotel Battalion 10 Non Ac Deluxe</t>
  </si>
  <si>
    <t>Hotel Battalion 10 AC Super Deluxe</t>
  </si>
  <si>
    <t>Hotel Battalion 10 AC Premimum</t>
  </si>
  <si>
    <t>Hotel  Blue Orchid</t>
  </si>
  <si>
    <t>Pipalkoti</t>
  </si>
  <si>
    <t>Hotel Vinayak Superior Room</t>
  </si>
  <si>
    <t>Hotel Vinayak Executive Room</t>
  </si>
  <si>
    <t xml:space="preserve"> Hotel Comfort INN </t>
  </si>
  <si>
    <t>Hotel Ajay Palace</t>
  </si>
  <si>
    <t>Ajay Palace Pipalkoti</t>
  </si>
  <si>
    <t xml:space="preserve">Hotel Le Meadows </t>
  </si>
  <si>
    <t>Badri Palace</t>
  </si>
  <si>
    <t>Blessings Resort Family Cottages (Mountain view with private balcony)-Premium-Key</t>
  </si>
  <si>
    <t>Blessings Resort Family Cottages (Mountain view with private balcony)-Premium-Double EP</t>
  </si>
  <si>
    <t>Blessings Resort Family Cottages (Mountain view with private balcony)-Premium-Double CP</t>
  </si>
  <si>
    <t>Blessings Resort Family Cottages (Mountain view with private balcony)-Premium-Double MAP</t>
  </si>
  <si>
    <t>Blessings Resort Family Cottages (Mountain view with private balcony)-Premium-Triple EP</t>
  </si>
  <si>
    <t>Blessings Resort Family Cottages (Mountain view with private balcony)-Premium-Triple CP</t>
  </si>
  <si>
    <t>Blessings Resort Family Cottages (Mountain view with private balcony)-Premium-Triple MAP</t>
  </si>
  <si>
    <t>Blessings Resort Family Cottages (Mountain view with private balcony)-Premium-Quad EP</t>
  </si>
  <si>
    <t>Blessings Resort Family Cottages (Mountain view with private balcony)-Premium-Quad MAP</t>
  </si>
  <si>
    <t>Blessings Resort Family Cottages (Mountain view with private balcony)-Premium-Quad CP</t>
  </si>
  <si>
    <t>Blessings Resort Deluxe Cottages (Mountain
view with private balcony)-Premium-Key</t>
  </si>
  <si>
    <t>Blessings Resort Deluxe Cottages (Mountain
view with private balcony)-Premium-Double EP</t>
  </si>
  <si>
    <t>Blessings Resort Deluxe Cottages (Mountain
view with private balcony)-Premium-Double CP</t>
  </si>
  <si>
    <t>Blessings Resort Deluxe Cottages (Mountain
view with private balcony)-Premium-Double MAP</t>
  </si>
  <si>
    <t>Blessings Resort Deluxe Cottages (Mountain
view with private balcony)-Premium-Triple EP</t>
  </si>
  <si>
    <t>Blessings Resort Deluxe Cottages (Mountain
view with private balcony)-Premium-Triple CP</t>
  </si>
  <si>
    <t>Blessings Resort Deluxe Cottages (Mountain
view with private balcony)-Premium-Triple MAP</t>
  </si>
  <si>
    <t>Blessings Resort Deluxe Cottages (Mountain
view with private balcony)-Premium-Quad EP</t>
  </si>
  <si>
    <t>Blessings Resort Deluxe Cottages (Mountain
view with private balcony)-Premium-Quad MAP</t>
  </si>
  <si>
    <t>Blessings Resort Deluxe Cottages (Mountain
view with private balcony)-Premium-Quad CP</t>
  </si>
  <si>
    <t>Blessings Resort Luxury Cottages
(Mountain &amp; River view
with private balcony)-Premium-Key</t>
  </si>
  <si>
    <t>Blessings Resort Luxury Cottages
(Mountain &amp; River view
with private balcony)-Premium-Double EP</t>
  </si>
  <si>
    <t>Blessings Resort Luxury Cottages
(Mountain &amp; River view
with private balcony)-Premium-Double CP</t>
  </si>
  <si>
    <t>Blessings Resort Luxury Cottages
(Mountain &amp; River view
with private balcony)-Premium-Double MAP</t>
  </si>
  <si>
    <t>Blessings Resort Luxury Cottages
(Mountain &amp; River view
with private balcony)-Premium-Triple EP</t>
  </si>
  <si>
    <t>Blessings Resort Luxury Cottages
(Mountain &amp; River view
with private balcony)-Premium-Triple CP</t>
  </si>
  <si>
    <t>Blessings Resort Luxury Cottages
(Mountain &amp; River view
with private balcony)-Premium-Triple MAP</t>
  </si>
  <si>
    <t>Blessings Resort Luxury Cottages
(Mountain &amp; River view
with private balcony)-Premium-Quad EP</t>
  </si>
  <si>
    <t>Blessings Resort Luxury Cottages
(Mountain &amp; River view
with private balcony)-Premium-Quad MAP</t>
  </si>
  <si>
    <t>Blessings Resort Luxury Cottages
(Mountain &amp; River view
with private balcony)-Premium-Quad CP</t>
  </si>
  <si>
    <t>Yamunotri Cottages (Classic)-Premium-Key</t>
  </si>
  <si>
    <t>Yamunotri Cottages (Classic)-Premium-Double EP</t>
  </si>
  <si>
    <t>Yamunotri Cottages (Classic)-Premium-Double CP</t>
  </si>
  <si>
    <t>Yamunotri Cottages (Classic)-Premium-Double MAP</t>
  </si>
  <si>
    <t>Yamunotri Cottages (Luxury Pine)-Premium-Key</t>
  </si>
  <si>
    <t>Yamunotri Cottages (Luxury Pine)-Premium-Double EP</t>
  </si>
  <si>
    <t>Yamunotri Cottages (Luxury Pine)-Premium-Double CP</t>
  </si>
  <si>
    <t>Yamunotri Cottages (Luxury Pine)-Premium-Double MAP</t>
  </si>
  <si>
    <t>Rudra Camp Kedarnath-Premium-Key</t>
  </si>
  <si>
    <t>KedarnathPremium</t>
  </si>
  <si>
    <t>Rudra Camp Kedarnath-Premium-Double MAP</t>
  </si>
  <si>
    <t>Rudra Camp Kedarnath-Premium-Triple MAP</t>
  </si>
  <si>
    <t>Rudra Camp Kedarnath-Premium-Quad MAP</t>
  </si>
  <si>
    <t>Rudra Hotel-Budget-Key</t>
  </si>
  <si>
    <t>KedarnathBudget</t>
  </si>
  <si>
    <t>Rudra Hotel-Budget-Quad EP</t>
  </si>
  <si>
    <t>Hotel New Pandey Inn-Budget-Key</t>
  </si>
  <si>
    <t>Hotel New Pandey Inn-Budget-Double EP</t>
  </si>
  <si>
    <t>Hotel New Pandey Inn-Budget-Double CP</t>
  </si>
  <si>
    <t>Hotel New Pandey Inn-Budget-Double MAP</t>
  </si>
  <si>
    <t>Hotel New Pandey Inn-Budget-Triple EP</t>
  </si>
  <si>
    <t>Hotel New Pandey Inn-Budget-Triple CP</t>
  </si>
  <si>
    <t>Hotel New Pandey Inn-Budget-Triple MAP</t>
  </si>
  <si>
    <t>Hotel New Pandey Inn-Budget-Quad MAP</t>
  </si>
  <si>
    <t>Parmeshwari Kedarnath (Only 20mts Kedarnath Temple)-Premium-Key</t>
  </si>
  <si>
    <t>Parmeshwari Kedarnath (Only 20mts Kedarnath Temple)-Premium-Double MAP</t>
  </si>
  <si>
    <t>Parmeshwari Kedarnath (Only 20mts Kedarnath Temple)-Premium-Triple MAP</t>
  </si>
  <si>
    <t>Parmeshwari Kedarnath (Only 20mts Kedarnath Temple)-Premium-Quad MAP</t>
  </si>
  <si>
    <t>Blessings Resort Dormitory-Budget-Key</t>
  </si>
  <si>
    <t>Blessings Resort Dormitory-Budget-Double EP</t>
  </si>
  <si>
    <t>Blessings Resort Dormitory-Budget-Double CP</t>
  </si>
  <si>
    <t>Blessings Resort Dormitory-Budget-Double MAP</t>
  </si>
  <si>
    <t>Blessings Resort Dormitory-Budget-Triple EP</t>
  </si>
  <si>
    <t>Blessings Resort Dormitory-Budget-Triple CP</t>
  </si>
  <si>
    <t>Blessings Resort Dormitory-Budget-Triple MAP</t>
  </si>
  <si>
    <t>Blessings Resort Dormitory-Budget-Quad EP</t>
  </si>
  <si>
    <t>Blessings Resort Dormitory-Budget-Quad MAP</t>
  </si>
  <si>
    <t>Blessings Resort Dormitory-Budget-Quad CP</t>
  </si>
  <si>
    <t>Hotel Ankit Palace-Standard-Key</t>
  </si>
  <si>
    <t>UttarkashiStandard</t>
  </si>
  <si>
    <t>Hotel Ankit Palace-Standard-Double MAP</t>
  </si>
  <si>
    <t>Hotel Ankit Palace-Standard-Triple MAP</t>
  </si>
  <si>
    <t>Hotel Ankit Palace-Standard-Quad MAP</t>
  </si>
  <si>
    <t>Hotel Sravasti-Standard-Key</t>
  </si>
  <si>
    <t>Hotel Sravasti-Standard-Double EP</t>
  </si>
  <si>
    <t>Hotel Sravasti-Standard-Double MAP</t>
  </si>
  <si>
    <t>Hotel Sravasti-Standard-Triple EP</t>
  </si>
  <si>
    <t>Hotel Sravasti-Standard-Triple MAP</t>
  </si>
  <si>
    <t>Hotel maharishi -Budget-Key</t>
  </si>
  <si>
    <t>UttarkashiBudget</t>
  </si>
  <si>
    <t>UttarkashiPremium</t>
  </si>
  <si>
    <t>Maa Saraswati Hotel-Standard-Key</t>
  </si>
  <si>
    <t>Maa Saraswati Hotel-Standard-Double EP</t>
  </si>
  <si>
    <t>Maa Saraswati Hotel-Standard-Double CP</t>
  </si>
  <si>
    <t>Maa Saraswati Hotel-Standard-Double MAP</t>
  </si>
  <si>
    <t>Maa Saraswati Hotel-Standard-Triple EP</t>
  </si>
  <si>
    <t>Maa Saraswati Hotel-Standard-Triple CP</t>
  </si>
  <si>
    <t>Maa Saraswati Hotel-Standard-Triple MAP</t>
  </si>
  <si>
    <t>Maa Saraswati Hotel-Standard-Quad EP</t>
  </si>
  <si>
    <t>Maa Saraswati Hotel-Standard-Quad MAP</t>
  </si>
  <si>
    <t>Maa Saraswati Hotel-Standard-Quad CP</t>
  </si>
  <si>
    <t>Hotel Sahaj Villa -Standard-Key</t>
  </si>
  <si>
    <t>Hotel Sahaj Villa -Standard-Double EP</t>
  </si>
  <si>
    <t>Hotel Sahaj Villa -Standard-Double CP</t>
  </si>
  <si>
    <t>Hotel Sahaj Villa -Standard-Double MAP</t>
  </si>
  <si>
    <t>Hotel Sahaj Villa -Standard-Triple EP</t>
  </si>
  <si>
    <t>Hotel Sahaj Villa -Standard-Triple CP</t>
  </si>
  <si>
    <t>Hotel Sahaj Villa -Standard-Triple MAP</t>
  </si>
  <si>
    <t>Hotel Sahaj Villa -Standard-Quad EP</t>
  </si>
  <si>
    <t>Hotel Sahaj Villa -Standard-Quad MAP</t>
  </si>
  <si>
    <t>Hotel Sahaj Villa -Standard-Quad CP</t>
  </si>
  <si>
    <t>Osho Zenganga Commune-Budget-Key</t>
  </si>
  <si>
    <t>Osho Zenganga Commune-Budget-Double EP</t>
  </si>
  <si>
    <t>Osho Zenganga Commune-Budget-Double MAP</t>
  </si>
  <si>
    <t>Hotel Narayan Palace-Standard-Key</t>
  </si>
  <si>
    <t>Hotel Narayan Palace-Standard-Double EP</t>
  </si>
  <si>
    <t>Hotel Narayan Palace-Standard-Double CP</t>
  </si>
  <si>
    <t>Hotel Narayan Palace-Standard-Double MAP</t>
  </si>
  <si>
    <t>Hotel Narayan Palace-Standard-Triple EP</t>
  </si>
  <si>
    <t>Hotel Narayan Palace-Standard-Triple CP</t>
  </si>
  <si>
    <t>Hotel Narayan Palace-Standard-Triple MAP</t>
  </si>
  <si>
    <t>Hotel Narayan Palace-Standard-Quad EP</t>
  </si>
  <si>
    <t>Hotel Narayan Palace-Standard-Quad MAP</t>
  </si>
  <si>
    <t>Hotel Narayan Palace-Standard-Quad CP</t>
  </si>
  <si>
    <t>Shri Narayan Touris Lodge &amp; Chandica Hotel -Budget-Key</t>
  </si>
  <si>
    <t>SonprayagBudget</t>
  </si>
  <si>
    <t>Shri Narayan Touris Lodge &amp; Chandica Hotel -Budget-Double EP</t>
  </si>
  <si>
    <t>Shri Narayan Touris Lodge &amp; Chandica Hotel -Budget-Double MAP</t>
  </si>
  <si>
    <t>Kailashpati Resort -Standard-Key</t>
  </si>
  <si>
    <t>SonprayagStandard</t>
  </si>
  <si>
    <t>Kailashpati Resort -Standard-Double EP</t>
  </si>
  <si>
    <t>Kailashpati Resort -Standard-Double MAP</t>
  </si>
  <si>
    <t>Kailashpati Resort -Standard-Triple EP</t>
  </si>
  <si>
    <t>Kailashpati Resort -Standard-Triple MAP</t>
  </si>
  <si>
    <t>Hotel Blue Pine-Standard-Key</t>
  </si>
  <si>
    <t>SitapurStandard</t>
  </si>
  <si>
    <t>Hotel Blue Pine-Standard-Double EP</t>
  </si>
  <si>
    <t>Hotel Blue Pine-Standard-Double MAP</t>
  </si>
  <si>
    <t>Hotel Blue Pine-Standard-Triple EP</t>
  </si>
  <si>
    <t>Hotel Blue Pine-Standard-Triple MAP</t>
  </si>
  <si>
    <t>Hotel Blue Pine-Standard-Quad EP</t>
  </si>
  <si>
    <t>Hotel Blue Pine-Standard-Quad MAP</t>
  </si>
  <si>
    <t>SitapurPremium</t>
  </si>
  <si>
    <t>Namami Gange-Standard-Key</t>
  </si>
  <si>
    <t>Namami Gange-Standard-Double EP</t>
  </si>
  <si>
    <t>Namami Gange-Standard-Double CP</t>
  </si>
  <si>
    <t>Namami Gange-Standard-Double MAP</t>
  </si>
  <si>
    <t>Namami Gange-Standard-Triple EP</t>
  </si>
  <si>
    <t>Namami Gange-Standard-Triple CP</t>
  </si>
  <si>
    <t>Namami Gange-Standard-Triple MAP</t>
  </si>
  <si>
    <t>Namami Gange-Standard-Quad EP</t>
  </si>
  <si>
    <t>Namami Gange-Standard-Quad MAP</t>
  </si>
  <si>
    <t>Namami Gange-Standard-Quad CP</t>
  </si>
  <si>
    <t>Abhishek Hotel-Standard-Key</t>
  </si>
  <si>
    <t>Abhishek Hotel-Standard-Double EP</t>
  </si>
  <si>
    <t>Abhishek Hotel-Standard-Double CP</t>
  </si>
  <si>
    <t>Abhishek Hotel-Standard-Double MAP</t>
  </si>
  <si>
    <t>Abhishek Hotel-Standard-Triple EP</t>
  </si>
  <si>
    <t>Abhishek Hotel-Standard-Triple CP</t>
  </si>
  <si>
    <t>Abhishek Hotel-Standard-Triple MAP</t>
  </si>
  <si>
    <t>Abhishek Hotel-Standard-Quad EP</t>
  </si>
  <si>
    <t>Abhishek Hotel-Standard-Quad MAP</t>
  </si>
  <si>
    <t>Abhishek Hotel-Standard-Quad CP</t>
  </si>
  <si>
    <t>Hotel Battalion 10 Non Ac Deluxe-Standard-Key</t>
  </si>
  <si>
    <t>RudraprayagStandard</t>
  </si>
  <si>
    <t>Hotel Battalion 10 Non Ac Deluxe-Standard-Double EP</t>
  </si>
  <si>
    <t>Hotel Battalion 10 Non Ac Deluxe-Standard-Double MAP</t>
  </si>
  <si>
    <t>Hotel Battalion 10 Non Ac Deluxe-Standard-Triple EP</t>
  </si>
  <si>
    <t>Hotel Battalion 10 Non Ac Deluxe-Standard-Triple MAP</t>
  </si>
  <si>
    <t>Hotel Battalion 10 Non Ac Deluxe-Standard-Quad EP</t>
  </si>
  <si>
    <t>Hotel Battalion 10 Non Ac Deluxe-Standard-Quad MAP</t>
  </si>
  <si>
    <t>Hotel Battalion 10 AC Super Deluxe-Standard-Key</t>
  </si>
  <si>
    <t>Hotel Battalion 10 AC Super Deluxe-Standard-Double EP</t>
  </si>
  <si>
    <t>Hotel Battalion 10 AC Super Deluxe-Standard-Double MAP</t>
  </si>
  <si>
    <t>Hotel Battalion 10 AC Super Deluxe-Standard-Triple EP</t>
  </si>
  <si>
    <t>Hotel Battalion 10 AC Super Deluxe-Standard-Triple MAP</t>
  </si>
  <si>
    <t>Hotel Battalion 10 AC Super Deluxe-Standard-Quad EP</t>
  </si>
  <si>
    <t>Hotel Battalion 10 AC Super Deluxe-Standard-Quad MAP</t>
  </si>
  <si>
    <t>Hotel Battalion 10 AC Premimum-Premium-Key</t>
  </si>
  <si>
    <t>RudraprayagPremium</t>
  </si>
  <si>
    <t>Hotel Battalion 10 AC Premimum-Premium-Double EP</t>
  </si>
  <si>
    <t>Hotel Battalion 10 AC Premimum-Premium-Double MAP</t>
  </si>
  <si>
    <t>Hotel  Blue Orchid-Premium-Key</t>
  </si>
  <si>
    <t>Hotel  Blue Orchid-Premium-Double EP</t>
  </si>
  <si>
    <t>Hotel  Blue Orchid-Premium-Double CP</t>
  </si>
  <si>
    <t>Hotel  Blue Orchid-Premium-Double MAP</t>
  </si>
  <si>
    <t>Hotel  Blue Orchid-Premium-Triple EP</t>
  </si>
  <si>
    <t>Hotel  Blue Orchid-Premium-Triple CP</t>
  </si>
  <si>
    <t>Hotel  Blue Orchid-Premium-Triple MAP</t>
  </si>
  <si>
    <t>Hotel  Blue Orchid-Premium-Quad EP</t>
  </si>
  <si>
    <t>Hotel  Blue Orchid-Premium-Quad MAP</t>
  </si>
  <si>
    <t>Hotel  Blue Orchid-Premium-Quad CP</t>
  </si>
  <si>
    <t>Hotel Vinayak Superior Room-Premium-Key</t>
  </si>
  <si>
    <t>PipalkotiPremium</t>
  </si>
  <si>
    <t>Hotel Vinayak Superior Room-Premium-Double EP</t>
  </si>
  <si>
    <t>Hotel Vinayak Superior Room-Premium-Double CP</t>
  </si>
  <si>
    <t>Hotel Vinayak Superior Room-Premium-Double MAP</t>
  </si>
  <si>
    <t>Hotel Vinayak Superior Room-Premium-Triple EP</t>
  </si>
  <si>
    <t>Hotel Vinayak Superior Room-Premium-Triple CP</t>
  </si>
  <si>
    <t>Hotel Vinayak Superior Room-Premium-Triple MAP</t>
  </si>
  <si>
    <t>Hotel Vinayak Superior Room-Premium-Quad EP</t>
  </si>
  <si>
    <t>Hotel Vinayak Superior Room-Premium-Quad MAP</t>
  </si>
  <si>
    <t>Hotel Vinayak Superior Room-Premium-Quad CP</t>
  </si>
  <si>
    <t>Hotel Vinayak Executive Room-Premium-Key</t>
  </si>
  <si>
    <t>Hotel Vinayak Executive Room-Premium-Double EP</t>
  </si>
  <si>
    <t>Hotel Vinayak Executive Room-Premium-Double CP</t>
  </si>
  <si>
    <t>Hotel Vinayak Executive Room-Premium-Double MAP</t>
  </si>
  <si>
    <t>Hotel Vinayak Executive Room-Premium-Quad EP</t>
  </si>
  <si>
    <t>Hotel Vinayak Executive Room-Premium-Quad MAP</t>
  </si>
  <si>
    <t>Hotel Vinayak Executive Room-Premium-Quad CP</t>
  </si>
  <si>
    <t> Hotel Comfort INN -Standard-Key</t>
  </si>
  <si>
    <t>PipalkotiStandard</t>
  </si>
  <si>
    <t> Hotel Comfort INN -Standard-Double MAP</t>
  </si>
  <si>
    <t> Hotel Comfort INN -Standard-Triple MAP</t>
  </si>
  <si>
    <t> Hotel Comfort INN -Standard-Quad MAP</t>
  </si>
  <si>
    <t>Hotel Ajay Palace-Standard-Key</t>
  </si>
  <si>
    <t>Hotel Ajay Palace-Standard-Double EP</t>
  </si>
  <si>
    <t>Hotel Ajay Palace-Standard-Double MAP</t>
  </si>
  <si>
    <t>Hotel Ajay Palace-Standard-Triple EP</t>
  </si>
  <si>
    <t>Hotel Ajay Palace-Standard-Triple MAP</t>
  </si>
  <si>
    <t>Hotel Ajay Palace-Standard-Quad EP</t>
  </si>
  <si>
    <t>Hotel Ajay Palace-Standard-Quad MAP</t>
  </si>
  <si>
    <t>Ajay Palace Pipalkoti-Standard-Key</t>
  </si>
  <si>
    <t>Ajay Palace Pipalkoti-Standard-Double EP</t>
  </si>
  <si>
    <t>Ajay Palace Pipalkoti-Standard-Double MAP</t>
  </si>
  <si>
    <t>Ajay Palace Pipalkoti-Standard-Triple EP</t>
  </si>
  <si>
    <t>Ajay Palace Pipalkoti-Standard-Triple MAP</t>
  </si>
  <si>
    <t>Ajay Palace Pipalkoti-Standard-Quad EP</t>
  </si>
  <si>
    <t>Ajay Palace Pipalkoti-Standard-Quad MAP</t>
  </si>
  <si>
    <t>Hotel Le Meadows -Premium-Key</t>
  </si>
  <si>
    <t>Hotel Le Meadows -Premium-Double EP</t>
  </si>
  <si>
    <t>Hotel Le Meadows -Premium-Double CP</t>
  </si>
  <si>
    <t>Hotel Le Meadows -Premium-Double MAP</t>
  </si>
  <si>
    <t>Hotel Le Meadows -Premium-Triple EP</t>
  </si>
  <si>
    <t>Hotel Le Meadows -Premium-Triple CP</t>
  </si>
  <si>
    <t>Hotel Le Meadows -Premium-Triple MAP</t>
  </si>
  <si>
    <t>Badri Palace-Premium-Key</t>
  </si>
  <si>
    <t>BadarinathPremium</t>
  </si>
  <si>
    <t>Badri Palace-Premium-Double EP</t>
  </si>
  <si>
    <t>Badri Palace-Premium-Double CP</t>
  </si>
  <si>
    <t>Badri Palace-Premium-Double MAP</t>
  </si>
  <si>
    <t>Badri Palace-Premium-Triple EP</t>
  </si>
  <si>
    <t>Badri Palace-Premium-Triple CP</t>
  </si>
  <si>
    <t>Badri Palace-Premium-Triple MAP</t>
  </si>
  <si>
    <t>Badri Palace-Premium-Quad EP</t>
  </si>
  <si>
    <t>Badri Palace-Premium-Quad MAP</t>
  </si>
  <si>
    <t>Badri Palace-Premium-Quad CP</t>
  </si>
  <si>
    <t>KedarnathStandard</t>
  </si>
  <si>
    <t>SonprayagPremium</t>
  </si>
  <si>
    <t>SitapurBudget</t>
  </si>
  <si>
    <t>RudraprayagBudget</t>
  </si>
  <si>
    <t>PipalkotiBudget</t>
  </si>
  <si>
    <t>BadarinathBudget</t>
  </si>
  <si>
    <t>BadarinathStandard</t>
  </si>
  <si>
    <r>
      <t>Char Dham </t>
    </r>
    <r>
      <rPr>
        <sz val="24"/>
        <color rgb="FF089DDD"/>
        <rFont val="Cambria"/>
        <family val="1"/>
      </rPr>
      <t>Deluxe Plus Packages</t>
    </r>
  </si>
  <si>
    <t>This is Navin Kumar Mishra, and I will be working with you to plan your trip to Char Dham.</t>
  </si>
  <si>
    <t>चार धाम यात्रा 2026 – आस्था की ओर एक कदम, घूमो फिरो ट्रैवल्स के साथ।</t>
  </si>
  <si>
    <t>New Basera</t>
  </si>
  <si>
    <t xml:space="preserve">Hotel Aditya Palace </t>
  </si>
  <si>
    <t>Barkot</t>
  </si>
  <si>
    <t>New Basera-Premium-Key</t>
  </si>
  <si>
    <t>New Basera-Premium-Double EP</t>
  </si>
  <si>
    <t>New Basera-Premium-Double CP</t>
  </si>
  <si>
    <t>New Basera-Premium-Double MAP</t>
  </si>
  <si>
    <t>New Basera-Premium-Triple EP</t>
  </si>
  <si>
    <t>New Basera-Premium-Triple CP</t>
  </si>
  <si>
    <t>New Basera-Premium-Triple MAP</t>
  </si>
  <si>
    <t>New Basera-Premium-Quad EP</t>
  </si>
  <si>
    <t>New Basera-Premium-Quad MAP</t>
  </si>
  <si>
    <t>New Basera-Premium-Quad CP</t>
  </si>
  <si>
    <t>Hotel Aditya Palace -Standard-Key</t>
  </si>
  <si>
    <t>BarkotStandard</t>
  </si>
  <si>
    <t>Hotel Aditya Palace -Standard-Double EP</t>
  </si>
  <si>
    <t>Hotel Aditya Palace -Standard-Double CP</t>
  </si>
  <si>
    <t>Hotel Aditya Palace -Standard-Double MAP</t>
  </si>
  <si>
    <t>Hotel Aditya Palace -Standard-Triple EP</t>
  </si>
  <si>
    <t>Hotel Aditya Palace -Standard-Triple CP</t>
  </si>
  <si>
    <t>Hotel Aditya Palace -Standard-Triple MAP</t>
  </si>
  <si>
    <t>Hotel Aditya Palace -Standard-Quad EP</t>
  </si>
  <si>
    <t>BarkotPremium</t>
  </si>
  <si>
    <t>BarkotBudget</t>
  </si>
  <si>
    <t>Shiv Shakti Eco Resort</t>
  </si>
  <si>
    <t>Hotel Aakashdeep</t>
  </si>
  <si>
    <t xml:space="preserve">Gaurav Hotel </t>
  </si>
  <si>
    <t xml:space="preserve">Madhuvan Guest House </t>
  </si>
  <si>
    <t>Hotel Pinewood (The om Hotels)</t>
  </si>
  <si>
    <t>Hotel Poll Star Inn (The om Hotels)</t>
  </si>
  <si>
    <t>Pandukeshwar</t>
  </si>
  <si>
    <t xml:space="preserve">Hotel Raghveer </t>
  </si>
  <si>
    <t>Shiv Shakti Eco Resort-Budget-Key</t>
  </si>
  <si>
    <t>Shiv Shakti Eco Resort-Budget-Double EP</t>
  </si>
  <si>
    <t>Hotel Aakashdeep-Budget-Key</t>
  </si>
  <si>
    <t>Hotel Aakashdeep-Budget-Double EP</t>
  </si>
  <si>
    <t>Gaurav Hotel -Budget-Key</t>
  </si>
  <si>
    <t>Madhuvan Guest House -Budget-Key</t>
  </si>
  <si>
    <t>Madhuvan Guest House -Budget-Double EP</t>
  </si>
  <si>
    <t>Madhuvan Guest House -Budget-Double MAP</t>
  </si>
  <si>
    <t>Madhuvan Guest House -Budget-Triple EP</t>
  </si>
  <si>
    <t>Madhuvan Guest House -Budget-Triple MAP</t>
  </si>
  <si>
    <t>Madhuvan Guest House -Budget-Quad EP</t>
  </si>
  <si>
    <t>Madhuvan Guest House -Budget-Quad MAP</t>
  </si>
  <si>
    <t>Hotel Pinewood (The om Hotels)-Standard-Key</t>
  </si>
  <si>
    <t>Hotel Pinewood (The om Hotels)-Standard-Double EP</t>
  </si>
  <si>
    <t>Hotel Pinewood (The om Hotels)-Standard-Double CP</t>
  </si>
  <si>
    <t>Hotel Pinewood (The om Hotels)-Standard-Double MAP</t>
  </si>
  <si>
    <t>Hotel Pinewood (The om Hotels)-Standard-Triple EP</t>
  </si>
  <si>
    <t>Hotel Pinewood (The om Hotels)-Standard-Triple CP</t>
  </si>
  <si>
    <t>Hotel Pinewood (The om Hotels)-Standard-Triple MAP</t>
  </si>
  <si>
    <t>Hotel Pinewood (The om Hotels)-Standard-Quad EP</t>
  </si>
  <si>
    <t>Hotel Pinewood (The om Hotels)-Standard-Quad MAP</t>
  </si>
  <si>
    <t>Hotel Pinewood (The om Hotels)-Standard-Quad CP</t>
  </si>
  <si>
    <t>PandukeshwarPremium</t>
  </si>
  <si>
    <t>PandukeshwarBudget</t>
  </si>
  <si>
    <t>PandukeshwarStandard</t>
  </si>
  <si>
    <t>Hotel Vijay Residency</t>
  </si>
  <si>
    <t>Hotel Namami Gange</t>
  </si>
  <si>
    <t>Badri Palace by Namami Gange</t>
  </si>
  <si>
    <t>Hotel Shiv Manohar</t>
  </si>
  <si>
    <t>Hotel Mangalam-Premium-Key</t>
  </si>
  <si>
    <t>Hotel Mangalam-Premium-Double EP</t>
  </si>
  <si>
    <t>Hotel Mangalam-Premium-Double MAP</t>
  </si>
  <si>
    <t>Hotel Mangalam-Premium-Triple EP</t>
  </si>
  <si>
    <t>Hotel Mangalam-Premium-Triple MAP</t>
  </si>
  <si>
    <t>Hotel Vijay Residency-Budget-Key</t>
  </si>
  <si>
    <t>Hotel Vijay Residency-Budget-Double EP</t>
  </si>
  <si>
    <t>Hotel Vijay Residency-Budget-Double MAP</t>
  </si>
  <si>
    <t>Hotel Vijay Residency-Budget-Triple EP</t>
  </si>
  <si>
    <t>Hotel Vijay Residency-Budget-Triple MAP</t>
  </si>
  <si>
    <t>Hotel Vijay Residency-Budget-Quad EP</t>
  </si>
  <si>
    <t>Hotel Vijay Residency-Budget-Quad MAP</t>
  </si>
  <si>
    <t>Hotel Namami Gange-Standard-Key</t>
  </si>
  <si>
    <t>Hotel Namami Gange-Standard-Double EP</t>
  </si>
  <si>
    <t>Hotel Namami Gange-Standard-Double CP</t>
  </si>
  <si>
    <t>Hotel Namami Gange-Standard-Double MAP</t>
  </si>
  <si>
    <t>Hotel Namami Gange-Standard-Triple EP</t>
  </si>
  <si>
    <t>Hotel Namami Gange-Standard-Triple CP</t>
  </si>
  <si>
    <t>Hotel Namami Gange-Standard-Triple MAP</t>
  </si>
  <si>
    <t>Hotel Namami Gange-Standard-Quad EP</t>
  </si>
  <si>
    <t>Hotel Namami Gange-Standard-Quad MAP</t>
  </si>
  <si>
    <t>Hotel Namami Gange-Standard-Quad CP</t>
  </si>
  <si>
    <t>Badri Palace by Namami Gange-Premium-Key</t>
  </si>
  <si>
    <t>Badri Palace by Namami Gange-Premium-Double EP</t>
  </si>
  <si>
    <t>Badri Palace by Namami Gange-Premium-Double CP</t>
  </si>
  <si>
    <t>Badri Palace by Namami Gange-Premium-Double MAP</t>
  </si>
  <si>
    <t>Badri Palace by Namami Gange-Premium-Triple EP</t>
  </si>
  <si>
    <t>Badri Palace by Namami Gange-Premium-Triple CP</t>
  </si>
  <si>
    <t>Badri Palace by Namami Gange-Premium-Triple MAP</t>
  </si>
  <si>
    <t>Badri Palace by Namami Gange-Premium-Quad EP</t>
  </si>
  <si>
    <t>Badri Palace by Namami Gange-Premium-Quad MAP</t>
  </si>
  <si>
    <t>Badri Palace by Namami Gange-Premium-Quad CP</t>
  </si>
  <si>
    <t>MAP</t>
  </si>
  <si>
    <t>Hotel Santosh-Budget-Key</t>
  </si>
  <si>
    <t>Hotel Santosh-Budget-Double EP</t>
  </si>
  <si>
    <t>Hotel Santosh-Budget-Double MAP</t>
  </si>
  <si>
    <t>Hotel Santosh-Budget-Triple EP</t>
  </si>
  <si>
    <t>Hotel Santosh-Budget-Triple MAP</t>
  </si>
  <si>
    <t>Hotel Santosh-Budget-Quad EP</t>
  </si>
  <si>
    <t>Hotel Santosh-Budget-Quad MAP</t>
  </si>
  <si>
    <t>Shiv Manohar-Budget-Key</t>
  </si>
  <si>
    <t>Shiv Manohar-Budget-Double EP</t>
  </si>
  <si>
    <t>Shiv Manohar-Budget-Double MAP</t>
  </si>
  <si>
    <t>Shiv Manohar-Budget-Triple EP</t>
  </si>
  <si>
    <t>Shiv Manohar-Budget-Triple MAP</t>
  </si>
  <si>
    <t>Shiv Manohar-Budget-Quad EP</t>
  </si>
  <si>
    <t>Shiv Manohar-Budget-Quad MAP</t>
  </si>
  <si>
    <t>Hotel Poll Star Inn (The om Hotels)-Standard-Key</t>
  </si>
  <si>
    <t>Hotel Poll Star Inn (The om Hotels)-Standard-Double EP</t>
  </si>
  <si>
    <t>Hotel Poll Star Inn (The om Hotels)-Standard-Double CP</t>
  </si>
  <si>
    <t>Hotel Poll Star Inn (The om Hotels)-Standard-Double MAP</t>
  </si>
  <si>
    <t>Hotel Poll Star Inn (The om Hotels)-Standard-Quad EP</t>
  </si>
  <si>
    <t>Hotel Poll Star Inn (The om Hotels)-Standard-Quad MAP</t>
  </si>
  <si>
    <t>Hotel Poll Star Inn (The om Hotels)-Standard-Quad CP</t>
  </si>
  <si>
    <t>Hotel Raghveer -Standard-Key</t>
  </si>
  <si>
    <t>Hotel Raghveer -Standard-Double EP</t>
  </si>
  <si>
    <t>Hotel Raghveer -Standard-Double CP</t>
  </si>
  <si>
    <t>Hotel Raghveer -Standard-Double MAP</t>
  </si>
  <si>
    <t>Hotel Raghveer -Standard-Triple EP</t>
  </si>
  <si>
    <t>Hotel Raghveer -Standard-Triple CP</t>
  </si>
  <si>
    <t>Hotel Raghveer -Standard-Triple MAP</t>
  </si>
  <si>
    <t>Hotel Raghveer -Standard-Quad EP</t>
  </si>
  <si>
    <t>Hotel Raghveer -Standard-Quad MAP</t>
  </si>
  <si>
    <t>Hotel Raghveer -Standard-Quad CP</t>
  </si>
  <si>
    <t>Hotel Shiv Manohar-Budget-Key</t>
  </si>
  <si>
    <t>Hotel Shiv Manohar-Budget-Double EP</t>
  </si>
  <si>
    <t>Hotel Shiv Manohar-Budget-Double MAP</t>
  </si>
  <si>
    <t>Hotel Shiv Manohar-Budget-Triple EP</t>
  </si>
  <si>
    <t>Hotel Shiv Manohar-Budget-Triple MAP</t>
  </si>
  <si>
    <t>Hotel Shiv Manohar-Budget-Quad EP</t>
  </si>
  <si>
    <t>Hotel Shiv Manohar-Budget-Quad MAP</t>
  </si>
  <si>
    <t>Shiv Shakti Eco Resort-Budget-Double MAP</t>
  </si>
  <si>
    <t>Shiv Shakti Eco Resort-Budget-Triple EP</t>
  </si>
  <si>
    <t>Shiv Shakti Eco Resort-Budget-Triple MAP</t>
  </si>
  <si>
    <t>Shiv Shakti Eco Resort-Budget-Quad EP</t>
  </si>
  <si>
    <t>Shiv Shakti Eco Resort-Budget-Quad MAP</t>
  </si>
  <si>
    <t xml:space="preserve">Hotel Bhawani </t>
  </si>
  <si>
    <t>Hotel Bhawani -Standard-Key</t>
  </si>
  <si>
    <t>Hotel Bhawani -Standard-Double EP</t>
  </si>
  <si>
    <t>Hotel Bhawani -Standard-Double MAP</t>
  </si>
  <si>
    <t>Hotel Bhawani -Standard-Triple EP</t>
  </si>
  <si>
    <t>Hotel Bhawani -Standard-Triple MAP</t>
  </si>
  <si>
    <t>Hotel Bhawani -Standard-Quad EP</t>
  </si>
  <si>
    <t>Hotel Bhawani -Standard-Quad MAP</t>
  </si>
  <si>
    <t>Osho Zenganga Commune-Budget-Triple EP</t>
  </si>
  <si>
    <t>Osho Zenganga Commune-Budget-Triple MAP</t>
  </si>
  <si>
    <t>Osho Zenganga Commune-Budget-Quad EP</t>
  </si>
  <si>
    <t>Osho Zenganga Commune-Budget-Quad MAP</t>
  </si>
  <si>
    <t>Innova</t>
  </si>
  <si>
    <t>Hotel Sravasti-Standard-Quad MAP</t>
  </si>
  <si>
    <t>Hotel New Pandey Inn-Budget-Quad EP</t>
  </si>
  <si>
    <t>Hotel Devlok</t>
  </si>
  <si>
    <t>Raatri Hotels</t>
  </si>
  <si>
    <t>Hotel Sunrise (Raatri Hotels)</t>
  </si>
  <si>
    <t>Hotel Himgiri Badrinath</t>
  </si>
  <si>
    <t>Raatri Hotel Bhanu Palace</t>
  </si>
  <si>
    <t>Hotel BALBEER PALACE</t>
  </si>
  <si>
    <t>Hotel Sravasti-Standard-Double CP</t>
  </si>
  <si>
    <t>Hotel Sravasti-Standard-Triple CP</t>
  </si>
  <si>
    <t>Hotel Devlok-Standard-Key</t>
  </si>
  <si>
    <t>Hotel Devlok-Standard-Double EP</t>
  </si>
  <si>
    <t>Hotel Devlok-Standard-Double MAP</t>
  </si>
  <si>
    <t>Hotel Devlok-Standard-Triple EP</t>
  </si>
  <si>
    <t>Hotel Devlok-Standard-Triple MAP</t>
  </si>
  <si>
    <t>Hotel Devlok-Standard-Quad EP</t>
  </si>
  <si>
    <t>Hotel Devlok-Standard-Quad MAP</t>
  </si>
  <si>
    <t>Hotel Sunrise (Raatri Hotels)-Standard-Key</t>
  </si>
  <si>
    <t>Hotel Sunrise (Raatri Hotels)-Standard-Double EP</t>
  </si>
  <si>
    <t>Hotel Sunrise (Raatri Hotels)-Standard-Double CP</t>
  </si>
  <si>
    <t>Hotel Sunrise (Raatri Hotels)-Standard-Double MAP</t>
  </si>
  <si>
    <t>Hotel Sunrise (Raatri Hotels)-Standard-Triple EP</t>
  </si>
  <si>
    <t>Hotel Sunrise (Raatri Hotels)-Standard-Triple CP</t>
  </si>
  <si>
    <t>Hotel Sunrise (Raatri Hotels)-Standard-Triple MAP</t>
  </si>
  <si>
    <t>Raatri Hotels-Premium-Key</t>
  </si>
  <si>
    <t>Raatri Hotels-Premium-Double EP</t>
  </si>
  <si>
    <t>Raatri Hotels-Premium-Double MAP</t>
  </si>
  <si>
    <t>Raatri Hotels-Premium-Triple EP</t>
  </si>
  <si>
    <t>Raatri Hotels-Premium-Triple MAP</t>
  </si>
  <si>
    <t>Raatri Hotels-Premium-Quad EP</t>
  </si>
  <si>
    <t>Raatri Hotels-Premium-Quad MAP</t>
  </si>
  <si>
    <t>Hotel Himgiri Badrinath-Standard-Key</t>
  </si>
  <si>
    <t>Hotel Himgiri Badrinath-Standard-Double EP</t>
  </si>
  <si>
    <t>Hotel Himgiri Badrinath-Standard-Double CP</t>
  </si>
  <si>
    <t>Hotel Himgiri Badrinath-Standard-Double MAP</t>
  </si>
  <si>
    <t>Hotel Himgiri Badrinath-Standard-Triple EP</t>
  </si>
  <si>
    <t>Hotel Himgiri Badrinath-Standard-Triple CP</t>
  </si>
  <si>
    <t>Hotel Himgiri Badrinath-Standard-Triple MAP</t>
  </si>
  <si>
    <t>Hotel Himgiri Badrinath-Standard-Quad EP</t>
  </si>
  <si>
    <t>Hotel Himgiri Badrinath-Standard-Quad MAP</t>
  </si>
  <si>
    <t>Hotel Himgiri Badrinath-Standard-Quad CP</t>
  </si>
  <si>
    <t>Raatri Hotel Bhanu Palace-Premium-Key</t>
  </si>
  <si>
    <t>Raatri Hotel Bhanu Palace-Premium-Double EP</t>
  </si>
  <si>
    <t>Raatri Hotel Bhanu Palace-Premium-Double CP</t>
  </si>
  <si>
    <t>Raatri Hotel Bhanu Palace-Premium-Double MAP</t>
  </si>
  <si>
    <t>Hotel BALBEER PALACE-Standard-Key</t>
  </si>
  <si>
    <t>Hotel BALBEER PALACE-Standard-Double MAP</t>
  </si>
  <si>
    <t>Hotel BALBEER PALACE-Standard-Triple MAP</t>
  </si>
  <si>
    <t>Hotel BALBEER PALACE-Standard-Quad MAP</t>
  </si>
  <si>
    <t>Hotel Samrat Resort</t>
  </si>
  <si>
    <t>Hotel Samrat Resort-Premium-Key</t>
  </si>
  <si>
    <t>Hotel Samrat Resort-Premium-Double EP</t>
  </si>
  <si>
    <t>Hotel Samrat Resort-Premium-Double CP</t>
  </si>
  <si>
    <t>Hotel Samrat Resort-Premium-Double MAP</t>
  </si>
  <si>
    <t>Hotel Samrat Resort-Premium-Triple EP</t>
  </si>
  <si>
    <t>Hotel Samrat Resort-Premium-Triple CP</t>
  </si>
  <si>
    <t>Hotel Samrat Resort-Premium-Triple MAP</t>
  </si>
  <si>
    <t>Hotel Samrat Resort-Premium-Quad EP</t>
  </si>
  <si>
    <t>Hotel Samrat Resort-Premium-Quad MAP</t>
  </si>
  <si>
    <t>Hotel Samrat Resort-Premium-Quad CP</t>
  </si>
  <si>
    <t>Anand Ganga</t>
  </si>
  <si>
    <t>Anand Ganga Ganga View Rooms</t>
  </si>
  <si>
    <t>Hotel Ankit Palace-Standard-Double EP</t>
  </si>
  <si>
    <t>Hotel Ankit Palace-Standard-Double CP</t>
  </si>
  <si>
    <t>Hotel Ankit Palace-Standard-Triple EP</t>
  </si>
  <si>
    <t>Hotel Ankit Palace-Standard-Triple CP</t>
  </si>
  <si>
    <t>Hotel Ankit Palace-Standard-Quad EP</t>
  </si>
  <si>
    <t>Hotel Ankit Palace-Standard-Quad CP</t>
  </si>
  <si>
    <t>Anand Ganga Ganga View Rooms-Premium-Key</t>
  </si>
  <si>
    <t>Anand Ganga Ganga View Rooms-Premium-Double CP</t>
  </si>
  <si>
    <t>Anand Ganga Ganga View Rooms-Premium-Double MAP</t>
  </si>
  <si>
    <t>Anand Ganga Ganga View Rooms-Premium-Triple CP</t>
  </si>
  <si>
    <t>Anand Ganga Ganga View Rooms-Premium-Triple MAP</t>
  </si>
  <si>
    <t>Anand Ganga Ganga View Rooms-Premium-Quad MAP</t>
  </si>
  <si>
    <t>Anand Ganga Ganga View Rooms-Premium-Quad CP</t>
  </si>
  <si>
    <t>Anand Ganga-Standard-Key</t>
  </si>
  <si>
    <t>Anand Ganga-Standard-Double CP</t>
  </si>
  <si>
    <t>Anand Ganga-Standard-Double MAP</t>
  </si>
  <si>
    <t>Anand Ganga-Standard-Triple CP</t>
  </si>
  <si>
    <t>Anand Ganga-Standard-Triple MAP</t>
  </si>
  <si>
    <t>Hotel Suryansh</t>
  </si>
  <si>
    <t>Haridwar</t>
  </si>
  <si>
    <t>Delhi</t>
  </si>
  <si>
    <t xml:space="preserve"> Hotel New Mandakini River Resort</t>
  </si>
  <si>
    <t>Kedar Hill Resort</t>
  </si>
  <si>
    <t>Shivalik Valley Resorts</t>
  </si>
  <si>
    <t>Hotel Suryansh-Standard-Key</t>
  </si>
  <si>
    <t>Hotel Suryansh-Standard-Double EP</t>
  </si>
  <si>
    <t>Hotel Suryansh-Standard-Double CP</t>
  </si>
  <si>
    <t>Hotel Suryansh-Standard-Double MAP</t>
  </si>
  <si>
    <t>Hotel Suryansh-Standard-Triple EP</t>
  </si>
  <si>
    <t>Hotel Suryansh-Standard-Triple CP</t>
  </si>
  <si>
    <t>Hotel Suryansh-Standard-Triple MAP</t>
  </si>
  <si>
    <t xml:space="preserve"> Hotel New Mandakini River Resort-Premium-Key</t>
  </si>
  <si>
    <t xml:space="preserve"> Hotel New Mandakini River Resort-Premium-Double EP</t>
  </si>
  <si>
    <t xml:space="preserve"> Hotel New Mandakini River Resort-Premium-Double CP</t>
  </si>
  <si>
    <t xml:space="preserve"> Hotel New Mandakini River Resort-Premium-Double MAP</t>
  </si>
  <si>
    <t xml:space="preserve"> Hotel New Mandakini River Resort-Premium-Triple EP</t>
  </si>
  <si>
    <t xml:space="preserve"> Hotel New Mandakini River Resort-Premium-Triple CP</t>
  </si>
  <si>
    <t xml:space="preserve"> Hotel New Mandakini River Resort-Premium-Triple MAP</t>
  </si>
  <si>
    <t xml:space="preserve"> Hotel New Mandakini River Resort-Premium-Quad EP</t>
  </si>
  <si>
    <t xml:space="preserve"> Hotel New Mandakini River Resort-Premium-Quad MAP</t>
  </si>
  <si>
    <t xml:space="preserve"> Hotel New Mandakini River Resort-Premium-Quad CP</t>
  </si>
  <si>
    <t>Kedar Hill Resort-Premium-Key</t>
  </si>
  <si>
    <t>Kedar Hill Resort-Premium-Double EP</t>
  </si>
  <si>
    <t>Kedar Hill Resort-Premium-Double CP</t>
  </si>
  <si>
    <t>Kedar Hill Resort-Premium-Double MAP</t>
  </si>
  <si>
    <t>Kedar Hill Resort-Premium-Triple EP</t>
  </si>
  <si>
    <t>Kedar Hill Resort-Premium-Triple CP</t>
  </si>
  <si>
    <t>Kedar Hill Resort-Premium-Triple MAP</t>
  </si>
  <si>
    <t>Kedar Hill Resort-Premium-Quad EP</t>
  </si>
  <si>
    <t>Kedar Hill Resort-Premium-Quad MAP</t>
  </si>
  <si>
    <t>Kedar Hill Resort-Premium-Quad CP</t>
  </si>
  <si>
    <t>Shivalik Valley Resorts-Premium-Key</t>
  </si>
  <si>
    <t>Shivalik Valley Resorts-Premium-Double EP</t>
  </si>
  <si>
    <t>Shivalik Valley Resorts-Premium-Double CP</t>
  </si>
  <si>
    <t>Shivalik Valley Resorts-Premium-Double MAP</t>
  </si>
  <si>
    <t>Shivalik Valley Resorts-Premium-Triple EP</t>
  </si>
  <si>
    <t>Shivalik Valley Resorts-Premium-Triple CP</t>
  </si>
  <si>
    <t>Shivalik Valley Resorts-Premium-Triple MAP</t>
  </si>
  <si>
    <t>Shivalik Valley Resorts-Premium-Quad EP</t>
  </si>
  <si>
    <t>Shivalik Valley Resorts-Premium-Quad MAP</t>
  </si>
  <si>
    <t>Shivalik Valley Resorts-Premium-Quad CP</t>
  </si>
  <si>
    <t>Narayan Valley Resort</t>
  </si>
  <si>
    <t>Narayan Valley Resort-Standard-Key</t>
  </si>
  <si>
    <t>Narayan Valley Resort-Standard-Double EP</t>
  </si>
  <si>
    <t>Narayan Valley Resort-Standard-Double MAP</t>
  </si>
  <si>
    <t>Narayan Valley Resort-Standard-Quad EP</t>
  </si>
  <si>
    <t>Neelansh Resort</t>
  </si>
  <si>
    <t>Neelansh Resort-Standard-Key</t>
  </si>
  <si>
    <t>Neelansh Resort-Standard-Double MAP</t>
  </si>
  <si>
    <t>Neelansh Resort-Standard-Triple MAP</t>
  </si>
  <si>
    <t>Neelansh Resort-Standard-Quad MAP</t>
  </si>
  <si>
    <t>Shri Narayan Resort</t>
  </si>
  <si>
    <t>Shri Narayan Resort-Standard-Key</t>
  </si>
  <si>
    <t>Shri Narayan Resort-Standard-Double EP</t>
  </si>
  <si>
    <t>Shri Narayan Resort-Standard-Double MAP</t>
  </si>
  <si>
    <t>Shri Narayan Resort-Standard-Triple EP</t>
  </si>
  <si>
    <t>Shri Narayan Resort-Standard-Triple MAP</t>
  </si>
  <si>
    <t>Shri Narayan Resort-Standard-Quad EP</t>
  </si>
  <si>
    <t>Shri Narayan Resort-Standard-Quad MAP</t>
  </si>
  <si>
    <t>Rudra Hotel-Budget-Triple EP</t>
  </si>
  <si>
    <t xml:space="preserve">RJ Anandam Resort </t>
  </si>
  <si>
    <t>RJ Anandam Resort -Standard-Key</t>
  </si>
  <si>
    <t>RJ Anandam Resort -Standard-Double MAP</t>
  </si>
  <si>
    <t>RJ Anandam Resort -Standard-Triple MAP</t>
  </si>
  <si>
    <t>RJ Anandam Resort -Standard-Quad MAP</t>
  </si>
  <si>
    <t>Marwar House Hotel</t>
  </si>
  <si>
    <t>Hotel Mount Hills</t>
  </si>
  <si>
    <t>Yamunotri Darshan Resort</t>
  </si>
  <si>
    <t>Guptkashi</t>
  </si>
  <si>
    <t>Hotel Om Shivaay Inn</t>
  </si>
  <si>
    <t>Hotel Mount Hills-Budget-Key</t>
  </si>
  <si>
    <t>GuptkashiBudget</t>
  </si>
  <si>
    <t>Hotel Mount Hills-Budget-Triple MAP</t>
  </si>
  <si>
    <t>Yamunotri Darshan Resort-Standard-Key</t>
  </si>
  <si>
    <t>Yamunotri Darshan Resort-Standard-Double MAP</t>
  </si>
  <si>
    <t>Yamunotri Darshan Resort-Standard-Triple MAP</t>
  </si>
  <si>
    <t>Hotel Om Shivaay Inn-Standard-Key</t>
  </si>
  <si>
    <t>Hotel Om Shivaay Inn-Standard-Double MAP</t>
  </si>
  <si>
    <t>Hotel Om Shivaay Inn-Standard-Triple MAP</t>
  </si>
  <si>
    <t>GuptkashiPremium</t>
  </si>
  <si>
    <t>GuptkashiStandard</t>
  </si>
  <si>
    <t>Marwar House Hotel-Premium-Key</t>
  </si>
  <si>
    <t>Marwar House Hotel-Premium-Double EP</t>
  </si>
  <si>
    <t>Marwar House Hotel-Premium-Double MAP</t>
  </si>
  <si>
    <t>Marwar House Hotel-Premium-Triple EP</t>
  </si>
  <si>
    <t>Marwar House Hotel-Premium-Triple MAP</t>
  </si>
  <si>
    <t>Marwar House Hotel-Premium-Quad EP</t>
  </si>
  <si>
    <t>Marwar House Hotel-Premium-Quad MAP</t>
  </si>
  <si>
    <t>BIKANER HOUSE</t>
  </si>
  <si>
    <t>BIKANER HOUSE KEDARNATH</t>
  </si>
  <si>
    <t>Janki Chati</t>
  </si>
  <si>
    <t>Pipalkothi</t>
  </si>
  <si>
    <t>Number</t>
  </si>
  <si>
    <t>Gaurav home stay</t>
  </si>
  <si>
    <t>62022 21906</t>
  </si>
  <si>
    <t>Hotel Jagatguru</t>
  </si>
  <si>
    <t>Hotel Magpie</t>
  </si>
  <si>
    <t>9456527523/7467047043</t>
  </si>
  <si>
    <t>9917603134/74569 99072</t>
  </si>
  <si>
    <t>Hotel Mountain Paradise &amp; Restaurant</t>
  </si>
  <si>
    <t>85060 50464</t>
  </si>
  <si>
    <t xml:space="preserve">Hotel Vivek Palace and Restaurant </t>
  </si>
  <si>
    <t>85328 71220</t>
  </si>
  <si>
    <t>Hotel Pinewood (The om Hotels) reservations@theomhotels.com</t>
  </si>
  <si>
    <t>Hotel Devbhoomi</t>
  </si>
  <si>
    <t>81717 54463</t>
  </si>
  <si>
    <t>Hotel Aswal Deluxe</t>
  </si>
  <si>
    <t>Hotel Aditya Palace Barkot</t>
  </si>
  <si>
    <t>94115 52105</t>
  </si>
  <si>
    <t>Hotel vivek palace</t>
  </si>
  <si>
    <t>89794 55591</t>
  </si>
  <si>
    <t>Hotel Garhwal Palace</t>
  </si>
  <si>
    <t xml:space="preserve"> 94101 09164</t>
  </si>
  <si>
    <t>Hotel Shivlinga Villa</t>
  </si>
  <si>
    <t>87555 44335</t>
  </si>
  <si>
    <t>Hotel Necklace Moon</t>
  </si>
  <si>
    <t>98723 65465</t>
  </si>
  <si>
    <t>Hotel Ashiyana Barkot</t>
  </si>
  <si>
    <t>093893 01916/92581 26088</t>
  </si>
  <si>
    <t>94115 64102</t>
  </si>
  <si>
    <t>Hotel Poll Star Inn The Om Hotel</t>
  </si>
  <si>
    <t>80771 37481</t>
  </si>
  <si>
    <t>Raturi Annexe Hotel &amp; Restaurant Barkot</t>
  </si>
  <si>
    <t>78955 22660</t>
  </si>
  <si>
    <t>The Monkey Tail Resort (luxry Premium)</t>
  </si>
  <si>
    <t>89796 63432</t>
  </si>
  <si>
    <t>Status</t>
  </si>
  <si>
    <t>81261 29244</t>
  </si>
  <si>
    <t>89542 97901</t>
  </si>
  <si>
    <t>Blessings Resort Yamunotri</t>
  </si>
  <si>
    <t>89796 04465</t>
  </si>
  <si>
    <t>Yamunotri Cottages</t>
  </si>
  <si>
    <t>96502 44553</t>
  </si>
  <si>
    <t>97600 58409</t>
  </si>
  <si>
    <t>Gaurav hotel jankichatti</t>
  </si>
  <si>
    <t>89796 60958</t>
  </si>
  <si>
    <t>75002 47797</t>
  </si>
  <si>
    <t>99107 23070</t>
  </si>
  <si>
    <t>Hotel Vijay Residency Barkot</t>
  </si>
  <si>
    <t>89389 36363</t>
  </si>
  <si>
    <t>(+91 84779 70854)</t>
  </si>
  <si>
    <t>Hotel Sravasti uttarkashi</t>
  </si>
  <si>
    <t>(+91 9927137581)(+919634791633)</t>
  </si>
  <si>
    <t>(+91 9411332768)</t>
  </si>
  <si>
    <t>(+91 99174 77718)/8755544335</t>
  </si>
  <si>
    <t xml:space="preserve"> (+91 98975 19437)</t>
  </si>
  <si>
    <t>(+91 95574 20698)</t>
  </si>
  <si>
    <t>Hotel Anandam</t>
  </si>
  <si>
    <t>(+91 95366 55223)</t>
  </si>
  <si>
    <t xml:space="preserve">HOTEL SURYANSH </t>
  </si>
  <si>
    <t>(+91 97607 99099)</t>
  </si>
  <si>
    <t xml:space="preserve"> (+91 90127 07517)</t>
  </si>
  <si>
    <t xml:space="preserve">RAJAJI HOTELS </t>
  </si>
  <si>
    <t>(+91 85275 21888)</t>
  </si>
  <si>
    <t xml:space="preserve">Shrigangalok hotels </t>
  </si>
  <si>
    <t>(+91 95689 46061)</t>
  </si>
  <si>
    <t>osho zenganga commune</t>
  </si>
  <si>
    <t>(+91 96347 91633)</t>
  </si>
  <si>
    <t>Hotel Narayan Palace The Om Hotel</t>
  </si>
  <si>
    <t>(+91 9582060044)</t>
  </si>
  <si>
    <t>Hotel Blue Pine Sitapur Kedarnath Rudraprayag</t>
  </si>
  <si>
    <t>73022 46705</t>
  </si>
  <si>
    <t>81262 97258</t>
  </si>
  <si>
    <t>98731 11710</t>
  </si>
  <si>
    <t>NEW BASERA HOTEL</t>
  </si>
  <si>
    <t>78277 20186</t>
  </si>
  <si>
    <t>82798 63790</t>
  </si>
  <si>
    <t>81691 06875</t>
  </si>
  <si>
    <t>(+91 97611 62608)</t>
  </si>
  <si>
    <t>(+91 95570 39123)</t>
  </si>
  <si>
    <t>94129 40987,9412940987.9897230743.</t>
  </si>
  <si>
    <t>Hotel Srikot Castle</t>
  </si>
  <si>
    <t xml:space="preserve">Tuilp Resort </t>
  </si>
  <si>
    <t>River side resort</t>
  </si>
  <si>
    <t>Lovekush</t>
  </si>
  <si>
    <t>Ivy Top</t>
  </si>
  <si>
    <t xml:space="preserve">Tulip Resort </t>
  </si>
  <si>
    <t>(+91-9997888111)</t>
  </si>
  <si>
    <t>Monal Resort</t>
  </si>
  <si>
    <t xml:space="preserve">Hotel Samrat Resort Rudraprayag </t>
  </si>
  <si>
    <t>(+9187559 98877) {+91 6396148290} {+91 9756855844}</t>
  </si>
  <si>
    <t>(+91 95288 69233)</t>
  </si>
  <si>
    <t>HOTEL BATTALION 10</t>
  </si>
  <si>
    <t xml:space="preserve">( +91 89795 55514) </t>
  </si>
  <si>
    <t xml:space="preserve">HOTEL DEVLOK </t>
  </si>
  <si>
    <t>(+91 98374 28573)</t>
  </si>
  <si>
    <t>Hotel Heaven</t>
  </si>
  <si>
    <t>(+91 9411535970)</t>
  </si>
  <si>
    <t xml:space="preserve">hotel heaven </t>
  </si>
  <si>
    <t>(+91 9917781959)</t>
  </si>
  <si>
    <t>Hotel Vinayak</t>
  </si>
  <si>
    <t>(+91 9412029833) {+91 6395 367 534}</t>
  </si>
  <si>
    <t>(+91 94565 65694)</t>
  </si>
  <si>
    <t xml:space="preserve">Heritage Inn </t>
  </si>
  <si>
    <t>(+91 9557654106)</t>
  </si>
  <si>
    <t xml:space="preserve"> HOTEL COMFORT INN </t>
  </si>
  <si>
    <t>(+91 94129 61867)</t>
  </si>
  <si>
    <t>Hotel Le Meadows , Pipalkoti</t>
  </si>
  <si>
    <t>Harela Inn Luxury Hotel Restaurant North &amp; South Indian</t>
  </si>
  <si>
    <t>(+91 92584 40449)</t>
  </si>
  <si>
    <t>HOTEL AND RESTAURANT DHAULI GANGA</t>
  </si>
  <si>
    <t>(+91 86500 97080)</t>
  </si>
  <si>
    <t>Kandari Guest House</t>
  </si>
  <si>
    <t>(+91 87917 75911)</t>
  </si>
  <si>
    <t>Hotel Sudarshan Palace</t>
  </si>
  <si>
    <t>075003 02065</t>
  </si>
  <si>
    <t>Hotel Nirvanam</t>
  </si>
  <si>
    <t>094109 97676</t>
  </si>
  <si>
    <t>La Riviere Waterfront A Traditional Stay</t>
  </si>
  <si>
    <t>093530 12144</t>
  </si>
  <si>
    <t>Tapovan Resort</t>
  </si>
  <si>
    <t>097201 02741</t>
  </si>
  <si>
    <t>Phulari House - Heart in Hills</t>
  </si>
  <si>
    <t>080775 32798</t>
  </si>
  <si>
    <t>Vasudev lodge</t>
  </si>
  <si>
    <t>062800 69347</t>
  </si>
  <si>
    <t>KDC GUEST HOUSE</t>
  </si>
  <si>
    <t>073511 50170</t>
  </si>
  <si>
    <t>New Shivlok Hotel Pipalkoti</t>
  </si>
  <si>
    <t>094120 32191</t>
  </si>
  <si>
    <t>94121 19046</t>
  </si>
  <si>
    <t>Rudra Homestay</t>
  </si>
  <si>
    <t>097610 71155</t>
  </si>
  <si>
    <t>New Indra Lodge</t>
  </si>
  <si>
    <t>094113 79963</t>
  </si>
  <si>
    <t>The Royal Fateh Inn</t>
  </si>
  <si>
    <t>Hotel Mount Inn Badrinath Marg , Birahi , Chamoli</t>
  </si>
  <si>
    <t>084330 77950</t>
  </si>
  <si>
    <t>SATOPANTH INN LUXURY HOTEL &amp; RESTAURANT, GARHWALI, NORTH &amp; SOUTH INDIAN</t>
  </si>
  <si>
    <t>074570 07268</t>
  </si>
  <si>
    <t>Kalp Palace Homestay</t>
  </si>
  <si>
    <t>078180 99103</t>
  </si>
  <si>
    <t>Hotel Rajendra Palace - Urgam Valley</t>
  </si>
  <si>
    <t>094105 07814</t>
  </si>
  <si>
    <t>Sayana hotel Chamoli</t>
  </si>
  <si>
    <t>099971 92838</t>
  </si>
  <si>
    <t>Hotel Chandra deep</t>
  </si>
  <si>
    <t>098973 55552</t>
  </si>
  <si>
    <t>Peaches and Pears</t>
  </si>
  <si>
    <t>099170 12636</t>
  </si>
  <si>
    <t>Astha Guest House</t>
  </si>
  <si>
    <t>081713 68023</t>
  </si>
  <si>
    <t>AGARWAL HOTEL &amp; RESTAURENT</t>
  </si>
  <si>
    <t>099971 35057</t>
  </si>
  <si>
    <t>Hotel Auli D - Hotel In Joshimath</t>
  </si>
  <si>
    <t>091682 25688</t>
  </si>
  <si>
    <t>Om Pingaksh hotel &amp; restaurant</t>
  </si>
  <si>
    <t>095685 35463</t>
  </si>
  <si>
    <t>Hotel Manorama Palace</t>
  </si>
  <si>
    <t>090128 44644</t>
  </si>
  <si>
    <t>YogMatra Eco Homestay, Urgam Valley</t>
  </si>
  <si>
    <t>078761 59186</t>
  </si>
  <si>
    <t>Srishti Homestay Gopeshwar</t>
  </si>
  <si>
    <t>080574 21244</t>
  </si>
  <si>
    <t>Shivam home stay and resturant</t>
  </si>
  <si>
    <t>099972 76330</t>
  </si>
  <si>
    <t>Number2</t>
  </si>
  <si>
    <t>Status3</t>
  </si>
  <si>
    <t>Number6</t>
  </si>
  <si>
    <t>Number8</t>
  </si>
  <si>
    <t>Status9</t>
  </si>
  <si>
    <t>Number10</t>
  </si>
  <si>
    <t>Status11</t>
  </si>
  <si>
    <t>Number12</t>
  </si>
  <si>
    <t>Number3</t>
  </si>
  <si>
    <t>Status2</t>
  </si>
  <si>
    <t>BIKANER HOUSE-Budget-Key</t>
  </si>
  <si>
    <t>RJ Anandam Resort</t>
  </si>
  <si>
    <t>shri Narayan Resort</t>
  </si>
  <si>
    <t>Number63</t>
  </si>
  <si>
    <t>Status72</t>
  </si>
  <si>
    <t>84497 84725</t>
  </si>
  <si>
    <t>Shri Narayan Touris Lodge &amp; Chandica Hotel</t>
  </si>
  <si>
    <t xml:space="preserve"> (+91 94101 90517)</t>
  </si>
  <si>
    <t>82796 70379</t>
  </si>
  <si>
    <t>93188 03777</t>
  </si>
  <si>
    <t>95363 88868</t>
  </si>
  <si>
    <t>Status22</t>
  </si>
  <si>
    <t>Status4</t>
  </si>
  <si>
    <t>Chopta</t>
  </si>
  <si>
    <t>Alpine Adventure Camp</t>
  </si>
  <si>
    <t>Alpine Adventure Camp-Standard-Key</t>
  </si>
  <si>
    <t>ChoptaStandard</t>
  </si>
  <si>
    <t>Alpine Adventure Camp-Standard-Double MAP</t>
  </si>
  <si>
    <t>Alpine Adventure Camp-Standard-Triple MAP</t>
  </si>
  <si>
    <t>Alpine Adventure Camp-Standard-Quad MAP</t>
  </si>
  <si>
    <t>ChoptaPremium</t>
  </si>
  <si>
    <t>ChoptaBudget</t>
  </si>
  <si>
    <t>Joshimath</t>
  </si>
  <si>
    <t>The Tattva Resort</t>
  </si>
  <si>
    <t>The Tattva Resort-Premium-Key</t>
  </si>
  <si>
    <t>JoshimathPremium</t>
  </si>
  <si>
    <t>The Tattva Resort-Premium-Double EP</t>
  </si>
  <si>
    <t>The Tattva Resort-Premium-Double CP</t>
  </si>
  <si>
    <t>The Tattva Resort-Premium-Double MAP</t>
  </si>
  <si>
    <t>JoshimathBudget</t>
  </si>
  <si>
    <t>JoshimathStandard</t>
  </si>
  <si>
    <t>Shivlinga Resort Deluxe Non AC</t>
  </si>
  <si>
    <t>Shivlinga Resort Deluxe Non AC-Premium-Key</t>
  </si>
  <si>
    <t>Shivlinga Resort Deluxe Non AC-Premium-Double EP</t>
  </si>
  <si>
    <t>Shivlinga Resort Deluxe Non AC-Premium-Double CP</t>
  </si>
  <si>
    <t>Shivlinga Resort Deluxe Non AC-Premium-Double MAP</t>
  </si>
  <si>
    <t>Shivlinga Resort Deluxe Non AC-Premium-Triple EP</t>
  </si>
  <si>
    <t>Shivlinga Resort Deluxe Non AC-Premium-Triple CP</t>
  </si>
  <si>
    <t>Shivlinga Resort Deluxe Non AC-Premium-Triple MAP</t>
  </si>
  <si>
    <t>Shivlinga Resort Deluxe Non AC-Premium-Quad EP</t>
  </si>
  <si>
    <t>Shivlinga Resort Deluxe Non AC-Premium-Quad MAP</t>
  </si>
  <si>
    <t>Shivlinga Resort Deluxe Non AC-Premium-Quad CP</t>
  </si>
  <si>
    <t>Rishikesh</t>
  </si>
  <si>
    <t>DLS The Classio</t>
  </si>
  <si>
    <t>DLS The Classio-Premium-Key</t>
  </si>
  <si>
    <t>RishikeshPremium</t>
  </si>
  <si>
    <t>DLS The Classio-Premium-Double EP</t>
  </si>
  <si>
    <t>DLS The Classio-Premium-Double CP</t>
  </si>
  <si>
    <t>DLS The Classio-Premium-Double MAP</t>
  </si>
  <si>
    <t>RishikeshBudget</t>
  </si>
  <si>
    <t>RishikeshStandard</t>
  </si>
  <si>
    <t>paradise Adventure camp</t>
  </si>
  <si>
    <t>paradise Adventure camp-Standard-Key</t>
  </si>
  <si>
    <t>paradise Adventure camp-Standard-Double CP</t>
  </si>
  <si>
    <t>paradise Adventure camp-Standard-Double MAP</t>
  </si>
  <si>
    <t>paradise Adventure camp-Standard-Triple CP</t>
  </si>
  <si>
    <t>paradise Adventure camp-Standard-Triple MAP</t>
  </si>
  <si>
    <t>paradise Adventure camp-Standard-Quad MAP</t>
  </si>
  <si>
    <t>paradise Adventure camp-Standard-Quad CP</t>
  </si>
  <si>
    <t>(+91 82737 08462) 7300907201</t>
  </si>
  <si>
    <t>Harsil</t>
  </si>
  <si>
    <t>HarsilPremium</t>
  </si>
  <si>
    <t>HarsilBudget</t>
  </si>
  <si>
    <t>HarsilStandard</t>
  </si>
  <si>
    <t>Prakriti Retreat Premium Room</t>
  </si>
  <si>
    <t>Prakriti Retreat Standard</t>
  </si>
  <si>
    <t>Nelangana Resort Pemium Room</t>
  </si>
  <si>
    <t>Nelangana Resort Deluxe Room</t>
  </si>
  <si>
    <t>Nelangana Resort Pemium Room-Premium-Key</t>
  </si>
  <si>
    <t>Nelangana Resort Pemium Room-Premium-Double EP</t>
  </si>
  <si>
    <t>Nelangana Resort Pemium Room-Premium-Double CP</t>
  </si>
  <si>
    <t>Nelangana Resort Pemium Room-Premium-Double MAP</t>
  </si>
  <si>
    <t>Nelangana Resort Pemium Room-Premium-Triple EP</t>
  </si>
  <si>
    <t>Nelangana Resort Pemium Room-Premium-Triple CP</t>
  </si>
  <si>
    <t>Nelangana Resort Pemium Room-Premium-Triple MAP</t>
  </si>
  <si>
    <t>Prakriti Retreat Premium Room-Premium-Key</t>
  </si>
  <si>
    <t>Prakriti Retreat Premium Room-Premium-Double EP</t>
  </si>
  <si>
    <t>Prakriti Retreat Premium Room-Premium-Double CP</t>
  </si>
  <si>
    <t>Prakriti Retreat Premium Room-Premium-Double MAP</t>
  </si>
  <si>
    <t>Prakriti Retreat Premium Room-Premium-Triple EP</t>
  </si>
  <si>
    <t>Prakriti Retreat Premium Room-Premium-Triple CP</t>
  </si>
  <si>
    <t>Prakriti Retreat Premium Room-Premium-Triple MAP</t>
  </si>
  <si>
    <t>Prakriti Retreat Standard-Premium-Key</t>
  </si>
  <si>
    <t>Prakriti Retreat Standard-Premium-Double EP</t>
  </si>
  <si>
    <t>Prakriti Retreat Standard-Premium-Double CP</t>
  </si>
  <si>
    <t>Prakriti Retreat Standard-Premium-Double MAP</t>
  </si>
  <si>
    <t>Prakriti Retreat Standard-Premium-Triple EP</t>
  </si>
  <si>
    <t>Prakriti Retreat Standard-Premium-Triple CP</t>
  </si>
  <si>
    <t>Prakriti Retreat Standard-Premium-Triple MAP</t>
  </si>
  <si>
    <t>Prakriti Retreat Standard-Premium-Quad EP</t>
  </si>
  <si>
    <t>Prakriti Retreat Standard-Premium-Quad MAP</t>
  </si>
  <si>
    <t>Prakriti Retreat Standard-Premium-Quad CP</t>
  </si>
  <si>
    <t>Nelangana Resort Deluxe Room-Premium-Key</t>
  </si>
  <si>
    <t>Nelangana Resort Deluxe Room-Premium-Double EP</t>
  </si>
  <si>
    <t>Nelangana Resort Deluxe Room-Premium-Double CP</t>
  </si>
  <si>
    <t>Nelangana Resort Deluxe Room-Premium-Double MAP</t>
  </si>
  <si>
    <t>Nelangana Resort Deluxe Room-Premium-Triple EP</t>
  </si>
  <si>
    <t>Nelangana Resort Deluxe Room-Premium-Triple CP</t>
  </si>
  <si>
    <t>Nelangana Resort Deluxe Room-Premium-Triple MAP</t>
  </si>
  <si>
    <t>Netala</t>
  </si>
  <si>
    <t>Hotel Bhagirathi Residency Deluxe Room</t>
  </si>
  <si>
    <t>Hotel Bhagirathi Residency Super Deluxe Room (Non-AC)</t>
  </si>
  <si>
    <t>Hotel Bhagirathi Residency Super Deluxe Room (AC)</t>
  </si>
  <si>
    <t>Hotel Bhagirathi Residency Deluxe Room-Premium-Key</t>
  </si>
  <si>
    <t>NetalaPremium</t>
  </si>
  <si>
    <t>Hotel Bhagirathi Residency Deluxe Room-Premium-Double EP</t>
  </si>
  <si>
    <t>Hotel Bhagirathi Residency Deluxe Room-Premium-Double MAP</t>
  </si>
  <si>
    <t>Hotel Bhagirathi Residency Deluxe Room-Premium-Triple EP</t>
  </si>
  <si>
    <t>Hotel Bhagirathi Residency Super Deluxe Room (Non-AC)-Premium-Key</t>
  </si>
  <si>
    <t>Hotel Bhagirathi Residency Super Deluxe Room (Non-AC)-Premium-Double EP</t>
  </si>
  <si>
    <t>Hotel Bhagirathi Residency Super Deluxe Room (Non-AC)-Premium-Double MAP</t>
  </si>
  <si>
    <t>Hotel Bhagirathi Residency Super Deluxe Room (Non-AC)-Premium-Triple EP</t>
  </si>
  <si>
    <t>Hotel Bhagirathi Residency Super Deluxe Room (AC)-Premium-Key</t>
  </si>
  <si>
    <t>Hotel Bhagirathi Residency Super Deluxe Room (AC)-Premium-Double EP</t>
  </si>
  <si>
    <t>Hotel Bhagirathi Residency Super Deluxe Room (AC)-Premium-Double MAP</t>
  </si>
  <si>
    <t>Hotel Bhagirathi Residency Super Deluxe Room (AC)-Premium-Triple EP</t>
  </si>
  <si>
    <t>NetalaBudget</t>
  </si>
  <si>
    <t>NetalaStandard</t>
  </si>
  <si>
    <t>Hotel Royal Hillcrest</t>
  </si>
  <si>
    <t>Hotel Royal Hillcrest-Premium-Key</t>
  </si>
  <si>
    <t>Hotel Royal Hillcrest-Premium-Double MAP</t>
  </si>
  <si>
    <t>Hotel Royal Hillcrest-Premium-Triple MAP</t>
  </si>
  <si>
    <t>No Extra Bed</t>
  </si>
  <si>
    <t>Phulwari Resort Deluxe Room</t>
  </si>
  <si>
    <t>Phulwari Resort Swiss Cottage</t>
  </si>
  <si>
    <t>Phulwari Resort Premium Room</t>
  </si>
  <si>
    <t>Phulwari Resort Suite Room 4 Person</t>
  </si>
  <si>
    <t>Phulwari Resort Presidential Suite Room</t>
  </si>
  <si>
    <t>Phulwari Resort Swiss Cottage-Premium-Key</t>
  </si>
  <si>
    <t>Phulwari Resort Swiss Cottage-Premium-Double EP</t>
  </si>
  <si>
    <t>Phulwari Resort Swiss Cottage-Premium-Double CP</t>
  </si>
  <si>
    <t>Phulwari Resort Swiss Cottage-Premium-Double MAP</t>
  </si>
  <si>
    <t>Phulwari Resort Swiss Cottage-Premium-Triple EP</t>
  </si>
  <si>
    <t>Phulwari Resort Swiss Cottage-Premium-Triple CP</t>
  </si>
  <si>
    <t>Phulwari Resort Swiss Cottage-Premium-Triple MAP</t>
  </si>
  <si>
    <t>Phulwari Resort Deluxe Room-Premium-Key</t>
  </si>
  <si>
    <t>Phulwari Resort Deluxe Room-Premium-Double EP</t>
  </si>
  <si>
    <t>Phulwari Resort Deluxe Room-Premium-Double CP</t>
  </si>
  <si>
    <t>Phulwari Resort Deluxe Room-Premium-Double MAP</t>
  </si>
  <si>
    <t>Phulwari Resort Deluxe Room-Premium-Triple EP</t>
  </si>
  <si>
    <t>Phulwari Resort Deluxe Room-Premium-Triple CP</t>
  </si>
  <si>
    <t>Phulwari Resort Deluxe Room-Premium-Triple MAP</t>
  </si>
  <si>
    <t>Phulwari Resort Premium Room-Premium-Key</t>
  </si>
  <si>
    <t>Phulwari Resort Premium Room-Premium-Double EP</t>
  </si>
  <si>
    <t>Phulwari Resort Premium Room-Premium-Double CP</t>
  </si>
  <si>
    <t>Phulwari Resort Premium Room-Premium-Double MAP</t>
  </si>
  <si>
    <t>Phulwari Resort Premium Room-Premium-Triple EP</t>
  </si>
  <si>
    <t>Phulwari Resort Premium Room-Premium-Triple CP</t>
  </si>
  <si>
    <t>Phulwari Resort Premium Room-Premium-Triple MAP</t>
  </si>
  <si>
    <t>Phulwari Resort Presidential Suite Room-Premium-Key</t>
  </si>
  <si>
    <t>Phulwari Resort Presidential Suite Room-Premium-Double EP</t>
  </si>
  <si>
    <t>Phulwari Resort Presidential Suite Room-Premium-Double CP</t>
  </si>
  <si>
    <t>Phulwari Resort Presidential Suite Room-Premium-Double MAP</t>
  </si>
  <si>
    <t>Phulwari Resort Presidential Suite Room-Premium-Triple EP</t>
  </si>
  <si>
    <t>Phulwari Resort Presidential Suite Room-Premium-Triple CP</t>
  </si>
  <si>
    <t>Phulwari Resort Presidential Suite Room-Premium-Triple MAP</t>
  </si>
  <si>
    <t>Phulwari Resort Suite Room 4 Person-Premium-Key</t>
  </si>
  <si>
    <t>Phulwari Resort Suite Room 4 Person-Premium-Double EP</t>
  </si>
  <si>
    <t>Phulwari Resort Suite Room 4 Person-Premium-Double CP</t>
  </si>
  <si>
    <t>Phulwari Resort Suite Room 4 Person-Premium-Double MAP</t>
  </si>
  <si>
    <t>Phulwari Resort Suite Room 4 Person-Premium-Quad EP</t>
  </si>
  <si>
    <t>Phulwari Resort Suite Room 4 Person-Premium-Quad MAP</t>
  </si>
  <si>
    <t>Phulwari Resort Suite Room 4 Person-Premium-Quad CP</t>
  </si>
  <si>
    <t>Hotel Neelkanth</t>
  </si>
  <si>
    <t>Badriville Resort</t>
  </si>
  <si>
    <t>Hotel Neelkanth-Premium-Key</t>
  </si>
  <si>
    <t>Hotel Neelkanth-Premium-Double MAP</t>
  </si>
  <si>
    <t>Hotel Neelkanth-Premium-Triple MAP</t>
  </si>
  <si>
    <t>Hotel Neelkanth-Premium-Quad MAP</t>
  </si>
  <si>
    <t>Badriville Resort-Premium-Key</t>
  </si>
  <si>
    <t>Badriville Resort-Premium-Double MAP</t>
  </si>
  <si>
    <t>Badriville Resort-Premium-Triple MAP</t>
  </si>
  <si>
    <t>Badriville Resort-Premium-Quad MAP</t>
  </si>
  <si>
    <t>90589 88006</t>
  </si>
  <si>
    <t>Hotel Panchvati Inn</t>
  </si>
  <si>
    <t>Hotel Panchvati Inn Deluxe</t>
  </si>
  <si>
    <t>Hotel Panchvati Inn Premium</t>
  </si>
  <si>
    <t>Hotel Panchvati Inn-Premium-Key</t>
  </si>
  <si>
    <t>Hotel Panchvati Inn-Premium-Double EP</t>
  </si>
  <si>
    <t>Hotel Panchvati Inn-Premium-Double CP</t>
  </si>
  <si>
    <t>Hotel Panchvati Inn-Premium-Double MAP</t>
  </si>
  <si>
    <t>Hotel Panchvati Inn-Premium-Triple EP</t>
  </si>
  <si>
    <t>Hotel Panchvati Inn-Premium-Triple CP</t>
  </si>
  <si>
    <t>Hotel Panchvati Inn-Premium-Triple MAP</t>
  </si>
  <si>
    <t>Hotel Panchvati Inn Deluxe-Premium-Key</t>
  </si>
  <si>
    <t>Hotel Panchvati Inn Deluxe-Premium-Double EP</t>
  </si>
  <si>
    <t>Hotel Panchvati Inn Deluxe-Premium-Double CP</t>
  </si>
  <si>
    <t>Hotel Panchvati Inn Deluxe-Premium-Double MAP</t>
  </si>
  <si>
    <t>Hotel Panchvati Inn Deluxe-Premium-Triple EP</t>
  </si>
  <si>
    <t>Hotel Panchvati Inn Deluxe-Premium-Triple CP</t>
  </si>
  <si>
    <t>Hotel Panchvati Inn Deluxe-Premium-Triple MAP</t>
  </si>
  <si>
    <t>Hotel Panchvati Inn Deluxe-Premium-Quad EP</t>
  </si>
  <si>
    <t>Hotel Panchvati Inn Deluxe-Premium-Quad MAP</t>
  </si>
  <si>
    <t>Hotel Panchvati Inn Deluxe-Premium-Quad CP</t>
  </si>
  <si>
    <t>Hotel Panchvati Inn Premium-Premium-Key</t>
  </si>
  <si>
    <t>Hotel Panchvati Inn Premium-Premium-Double EP</t>
  </si>
  <si>
    <t>Hotel Panchvati Inn Premium-Premium-Double CP</t>
  </si>
  <si>
    <t>Hotel Panchvati Inn Premium-Premium-Double MAP</t>
  </si>
  <si>
    <t>Hotel Panchvati Inn Premium-Premium-Triple EP</t>
  </si>
  <si>
    <t>Hotel Panchvati Inn Premium-Premium-Triple CP</t>
  </si>
  <si>
    <t>Hotel Panchvati Inn Premium-Premium-Triple MAP</t>
  </si>
  <si>
    <t>Shree Kuber Regency</t>
  </si>
  <si>
    <t>Badrinath Anant Hotel</t>
  </si>
  <si>
    <t>VijayLord's palace Badrinath</t>
  </si>
  <si>
    <t>Shree Kuber Regency-Premium-Key</t>
  </si>
  <si>
    <t>Shree Kuber Regency-Premium-Double MAP</t>
  </si>
  <si>
    <t>Shree Kuber Regency-Premium-Triple MAP</t>
  </si>
  <si>
    <t>Badrinath Anant Hotel-Premium-Key</t>
  </si>
  <si>
    <t>Badrinath Anant Hotel-Premium-Double MAP</t>
  </si>
  <si>
    <t>Badrinath Anant Hotel-Premium-Triple MAP</t>
  </si>
  <si>
    <t>VijayLord's palace Badrinath-Premium-Key</t>
  </si>
  <si>
    <t>VijayLord's palace Badrinath-Premium-Double MAP</t>
  </si>
  <si>
    <t>VijayLord's palace Badrinath-Premium-Triple MAP</t>
  </si>
  <si>
    <t>Hotel Green Leaf</t>
  </si>
  <si>
    <t>Hotel Green Leaf-Budget-Key</t>
  </si>
  <si>
    <t>HaridwarBudget</t>
  </si>
  <si>
    <t>Hotel Green Leaf-Budget-Double EP</t>
  </si>
  <si>
    <t>Hotel Green Leaf-Budget-Double CP</t>
  </si>
  <si>
    <t>Hotel Green Leaf-Budget-Double MAP</t>
  </si>
  <si>
    <t>Hotel Green Leaf-Budget-Triple EP</t>
  </si>
  <si>
    <t>Hotel Green Leaf-Budget-Triple CP</t>
  </si>
  <si>
    <t>Hotel Green Leaf-Budget-Triple MAP</t>
  </si>
  <si>
    <t>HaridwarPremium</t>
  </si>
  <si>
    <t>HaridwarStandard</t>
  </si>
  <si>
    <t>Done</t>
  </si>
  <si>
    <t>Tempo 16 Seater</t>
  </si>
  <si>
    <t>Urbania 12 Seater</t>
  </si>
  <si>
    <t>Urbania 17 Seater</t>
  </si>
  <si>
    <t>Mini Bus 27 Seater</t>
  </si>
  <si>
    <t xml:space="preserve">Ganga Bliss </t>
  </si>
  <si>
    <t>Ganga Bliss -Premium-Key</t>
  </si>
  <si>
    <t>Ganga Bliss -Premium-Double EP</t>
  </si>
  <si>
    <t>Ganga Bliss -Premium-Double CP</t>
  </si>
  <si>
    <t>Ganga Bliss -Premium-Double MAP</t>
  </si>
  <si>
    <t>Ganga Bliss -Premium-Triple EP</t>
  </si>
  <si>
    <t>Ganga Bliss -Premium-Triple CP</t>
  </si>
  <si>
    <t>Ganga Bliss -Premium-Triple MAP</t>
  </si>
  <si>
    <t xml:space="preserve">Hotel Arihant </t>
  </si>
  <si>
    <t>Hotel Arihant -Standard-Key</t>
  </si>
  <si>
    <t>Hotel Arihant -Standard-Double EP</t>
  </si>
  <si>
    <t>Hotel Arihant -Standard-Double CP</t>
  </si>
  <si>
    <t>Hotel Arihant -Standard-Double MAP</t>
  </si>
  <si>
    <t>Hotel Arihant -Standard-Triple EP</t>
  </si>
  <si>
    <t>Hotel Arihant -Standard-Triple CP</t>
  </si>
  <si>
    <t>Hotel Arihant -Standard-Triple MAP</t>
  </si>
  <si>
    <t>Hotel Mandakini Deluxe Rooms</t>
  </si>
  <si>
    <t>Hotel Mandakini Superior Rooms</t>
  </si>
  <si>
    <t>Hotel Mandakini Deluxe Rooms-Standard-Key</t>
  </si>
  <si>
    <t>Hotel Mandakini Deluxe Rooms-Standard-Double MAP</t>
  </si>
  <si>
    <t>Hotel Mandakini Deluxe Rooms-Standard-Triple MAP</t>
  </si>
  <si>
    <t>Hotel Mandakini Superior Rooms-Premium-Key</t>
  </si>
  <si>
    <t>Hotel Mandakini Superior Rooms-Premium-Double MAP</t>
  </si>
  <si>
    <t>Hotel Mandakini Superior Rooms-Premium-Triple MAP</t>
  </si>
  <si>
    <t>DLS Hotels on the Ganges</t>
  </si>
  <si>
    <t>DLS Hotels on the Ganges-Premium-Key</t>
  </si>
  <si>
    <t>DLS Hotels on the Ganges-Premium-Double MAP</t>
  </si>
  <si>
    <t>P</t>
  </si>
  <si>
    <t>Sukoon DK</t>
  </si>
  <si>
    <t>Sukoon Dk</t>
  </si>
  <si>
    <t>87911 69111</t>
  </si>
  <si>
    <t>Sukoon DK-Premium-Key</t>
  </si>
  <si>
    <t>Sukoon DK-Premium-Double MAP</t>
  </si>
  <si>
    <t>Sukoon DK-Premium-Triple MAP</t>
  </si>
  <si>
    <t>Kedarnath Deluxe by K3yaStays</t>
  </si>
  <si>
    <t>Marwar house</t>
  </si>
  <si>
    <t>94581 28124</t>
  </si>
  <si>
    <t>Rumkh Kedar Resort</t>
  </si>
  <si>
    <t>Kedarnath Deluxe by K3yaStays-Premium-Key</t>
  </si>
  <si>
    <t>Kedarnath Deluxe by K3yaStays-Premium-Double EP</t>
  </si>
  <si>
    <t>Kedarnath Deluxe by K3yaStays-Premium-Double MAP</t>
  </si>
  <si>
    <t>Rumkh Kedar Resort-Standard-Key</t>
  </si>
  <si>
    <t>Rumkh Kedar Resort-Standard-Double MAP</t>
  </si>
  <si>
    <t>Rumkh Kedar Resort-Standard-Triple MAP</t>
  </si>
  <si>
    <t>Rumkh Kedar Resort-Standard-Quad MAP</t>
  </si>
  <si>
    <t>Suryoday: The Vaikunth Premium King room</t>
  </si>
  <si>
    <t>Suryoday: The Vaikunth Mini Cozy Suite</t>
  </si>
  <si>
    <t>Suryoday: The Vaikunth Premium King room-Premium-Key</t>
  </si>
  <si>
    <t>Suryoday: The Vaikunth Premium King room-Premium-Double EP</t>
  </si>
  <si>
    <t>Suryoday: The Vaikunth Premium King room-Premium-Double CP</t>
  </si>
  <si>
    <t>Suryoday: The Vaikunth Premium King room-Premium-Double MAP</t>
  </si>
  <si>
    <t>Suryoday: The Vaikunth Premium King room-Premium-Triple EP</t>
  </si>
  <si>
    <t>Suryoday: The Vaikunth Premium King room-Premium-Triple CP</t>
  </si>
  <si>
    <t>Suryoday: The Vaikunth Premium King room-Premium-Triple MAP</t>
  </si>
  <si>
    <t>Suryoday: The Vaikunth Premium King room-Premium-Quad EP</t>
  </si>
  <si>
    <t>Suryoday: The Vaikunth Premium King room-Premium-Quad MAP</t>
  </si>
  <si>
    <t>Suryoday: The Vaikunth Premium King room-Premium-Quad CP</t>
  </si>
  <si>
    <t>Suryoday: The Vaikunth Mini Cozy Suite-Premium-Key</t>
  </si>
  <si>
    <t>Suryoday: The Vaikunth Mini Cozy Suite-Premium-Double EP</t>
  </si>
  <si>
    <t>Suryoday: The Vaikunth Mini Cozy Suite-Premium-Double CP</t>
  </si>
  <si>
    <t>Suryoday: The Vaikunth Mini Cozy Suite-Premium-Double MAP</t>
  </si>
  <si>
    <t>Suryoday: The Vaikunth Mini Cozy Suite-Premium-Triple EP</t>
  </si>
  <si>
    <t>Suryoday: The Vaikunth Mini Cozy Suite-Premium-Triple CP</t>
  </si>
  <si>
    <t>Suryoday: The Vaikunth Mini Cozy Suite-Premium-Triple MAP</t>
  </si>
  <si>
    <t>Suryoday: The Vaikunth Mini Cozy Suite-Premium-Quad EP</t>
  </si>
  <si>
    <t>Suryoday: The Vaikunth Mini Cozy Suite-Premium-Quad MAP</t>
  </si>
  <si>
    <t>Suryoday: The Vaikunth Mini Cozy Suite-Premium-Quad CP</t>
  </si>
  <si>
    <t>Sanchet Pandit Kedarnath</t>
  </si>
  <si>
    <t>Status23</t>
  </si>
  <si>
    <t>90272 57463</t>
  </si>
  <si>
    <t>Status24</t>
  </si>
  <si>
    <t>Vikas Panditji Badrinath</t>
  </si>
  <si>
    <t>95202 00882</t>
  </si>
  <si>
    <t xml:space="preserve">9368678109/ 8171672141 </t>
  </si>
  <si>
    <t>Hotel Uday Palace</t>
  </si>
  <si>
    <t>Hotel Uday Palace-Premium-Key</t>
  </si>
  <si>
    <t>Hotel Uday Palace-Premium-Double EP</t>
  </si>
  <si>
    <t>Hotel Uday Palace-Premium-Double CP</t>
  </si>
  <si>
    <t>Hotel Uday Palace-Premium-Double MAP</t>
  </si>
  <si>
    <t>Hotel Uday Palace-Premium-Triple EP</t>
  </si>
  <si>
    <t>Hotel Uday Palace-Premium-Triple CP</t>
  </si>
  <si>
    <t>Hotel Uday Palace-Premium-Triple MAP</t>
  </si>
  <si>
    <t>Hotel Uday Palace-Premium-Quad EP</t>
  </si>
  <si>
    <t>Hotel Uday Palace-Premium-Quad MAP</t>
  </si>
  <si>
    <t>Hotel Uday Palace-Premium-Quad CP</t>
  </si>
  <si>
    <t>Hotel New Urvashi</t>
  </si>
  <si>
    <t>Hotel New Urvashi-Premium-Key</t>
  </si>
  <si>
    <t>Hotel New Urvashi-Premium-Double EP</t>
  </si>
  <si>
    <t>Hotel New Urvashi-Premium-Double CP</t>
  </si>
  <si>
    <t>Hotel New Urvashi-Premium-Double MAP</t>
  </si>
  <si>
    <t>Hotel New Urvashi-Premium-Triple EP</t>
  </si>
  <si>
    <t>Hotel New Urvashi-Premium-Triple CP</t>
  </si>
  <si>
    <t>Hotel New Urvashi-Premium-Triple MAP</t>
  </si>
  <si>
    <t>Hotel New Urvashi-Premium-Quad EP</t>
  </si>
  <si>
    <t>Hotel New Urvashi-Premium-Quad MAP</t>
  </si>
  <si>
    <t>Hotel New Urvashi-Premium-Quad CP</t>
  </si>
  <si>
    <t xml:space="preserve">Bagwari House </t>
  </si>
  <si>
    <t>Bagwari House -Budget-Key</t>
  </si>
  <si>
    <t>Bagwari House -Budget-Triple EP</t>
  </si>
  <si>
    <t>EP</t>
  </si>
  <si>
    <t xml:space="preserve"> </t>
  </si>
  <si>
    <t>Hotel Welcome Pipalkoti</t>
  </si>
  <si>
    <t>Hotel Welcome Pipalkoti-Budget-Key</t>
  </si>
  <si>
    <t>Hotel Welcome Pipalkoti-Budget-Double MAP</t>
  </si>
  <si>
    <t>Hotel Welcome Pipalkoti-Budget-Triple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</si>
</sst>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[$-14009]dddd\,\ d\ mmmm\,\ yyyy;@"/>
  </numFmts>
  <fonts count="3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Cambria"/>
      <family val="1"/>
    </font>
    <font>
      <sz val="24"/>
      <color rgb="FF089DDD"/>
      <name val="Cambria"/>
      <family val="1"/>
    </font>
    <font>
      <b/>
      <sz val="18"/>
      <color theme="1"/>
      <name val="Cambria"/>
      <family val="1"/>
    </font>
    <font>
      <sz val="11"/>
      <color theme="1"/>
      <name val="Cambria"/>
      <family val="1"/>
    </font>
    <font>
      <u/>
      <sz val="11"/>
      <color theme="10"/>
      <name val="Aptos Narrow"/>
      <family val="2"/>
      <scheme val="minor"/>
    </font>
    <font>
      <b/>
      <sz val="18"/>
      <color rgb="FFFFFFFF"/>
      <name val="Cambria"/>
      <family val="1"/>
    </font>
    <font>
      <b/>
      <sz val="10"/>
      <color rgb="FF222222"/>
      <name val="Cambria"/>
      <family val="1"/>
    </font>
    <font>
      <sz val="11"/>
      <color rgb="FF222222"/>
      <name val="Cambria"/>
      <family val="1"/>
    </font>
    <font>
      <sz val="10"/>
      <color rgb="FF222222"/>
      <name val="Cambria"/>
      <family val="1"/>
    </font>
    <font>
      <b/>
      <sz val="11"/>
      <color rgb="FF222222"/>
      <name val="Cambria"/>
      <family val="1"/>
    </font>
    <font>
      <sz val="10"/>
      <color theme="0"/>
      <name val="Cambria"/>
      <family val="1"/>
    </font>
    <font>
      <b/>
      <sz val="18"/>
      <color theme="0"/>
      <name val="Cambria"/>
      <family val="1"/>
    </font>
    <font>
      <b/>
      <sz val="10"/>
      <color rgb="FFFFFFFF"/>
      <name val="Cambria"/>
      <family val="1"/>
    </font>
    <font>
      <b/>
      <sz val="10"/>
      <color theme="1"/>
      <name val="Cambria"/>
      <family val="1"/>
    </font>
    <font>
      <b/>
      <sz val="10"/>
      <color theme="0"/>
      <name val="Cambria"/>
      <family val="1"/>
    </font>
    <font>
      <sz val="11"/>
      <color rgb="FFFFFFFF"/>
      <name val="Cambria"/>
      <family val="1"/>
    </font>
    <font>
      <b/>
      <sz val="11"/>
      <color theme="0"/>
      <name val="Cambria"/>
      <family val="1"/>
    </font>
    <font>
      <b/>
      <sz val="11"/>
      <color theme="1"/>
      <name val="Cambria"/>
      <family val="1"/>
    </font>
    <font>
      <b/>
      <sz val="18"/>
      <color theme="0"/>
      <name val="Times New Roman"/>
      <family val="1"/>
    </font>
    <font>
      <sz val="11"/>
      <color rgb="FF000000"/>
      <name val="Cambria"/>
      <family val="1"/>
    </font>
    <font>
      <b/>
      <sz val="14"/>
      <color theme="1"/>
      <name val="Cambria"/>
      <family val="1"/>
    </font>
    <font>
      <b/>
      <sz val="16"/>
      <color theme="0"/>
      <name val="Cambria"/>
      <family val="1"/>
    </font>
    <font>
      <b/>
      <sz val="16"/>
      <color rgb="FF089DDD"/>
      <name val="Cambria"/>
      <family val="1"/>
    </font>
    <font>
      <b/>
      <sz val="24"/>
      <color rgb="FFFFFFFF"/>
      <name val="Cambria"/>
      <family val="1"/>
    </font>
    <font>
      <sz val="11"/>
      <color theme="1"/>
      <name val="Calibri"/>
      <family val="2"/>
    </font>
    <font>
      <sz val="11"/>
      <color theme="8" tint="-0.249977111117893"/>
      <name val="Aptos Narrow"/>
      <family val="2"/>
      <scheme val="minor"/>
    </font>
    <font>
      <sz val="11"/>
      <color rgb="FF4E0078"/>
      <name val="Aptos Narrow"/>
      <family val="2"/>
      <scheme val="minor"/>
    </font>
    <font>
      <sz val="11"/>
      <color rgb="FFD4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AC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76E3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6" fillId="6" borderId="1" xfId="1" applyFont="1" applyFill="1" applyBorder="1" applyAlignment="1">
      <alignment horizontal="center" vertical="center" wrapText="1"/>
    </xf>
    <xf numFmtId="15" fontId="11" fillId="7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1" fillId="11" borderId="4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wrapText="1"/>
    </xf>
    <xf numFmtId="8" fontId="6" fillId="0" borderId="0" xfId="0" applyNumberFormat="1" applyFont="1"/>
    <xf numFmtId="0" fontId="16" fillId="9" borderId="5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0" fontId="14" fillId="3" borderId="34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8" xfId="0" applyBorder="1" applyAlignment="1">
      <alignment horizontal="center" vertical="center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16" fillId="11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0" fillId="0" borderId="6" xfId="0" applyBorder="1"/>
    <xf numFmtId="0" fontId="0" fillId="0" borderId="13" xfId="0" applyBorder="1"/>
    <xf numFmtId="0" fontId="0" fillId="0" borderId="4" xfId="0" applyBorder="1"/>
    <xf numFmtId="0" fontId="16" fillId="9" borderId="3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7" fillId="0" borderId="0" xfId="1"/>
    <xf numFmtId="0" fontId="0" fillId="0" borderId="0" xfId="0" applyAlignment="1">
      <alignment wrapText="1"/>
    </xf>
    <xf numFmtId="0" fontId="19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9" fillId="5" borderId="11" xfId="0" applyFont="1" applyFill="1" applyBorder="1" applyAlignment="1">
      <alignment horizontal="right"/>
    </xf>
    <xf numFmtId="0" fontId="20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 wrapText="1"/>
    </xf>
    <xf numFmtId="15" fontId="16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8" fontId="0" fillId="0" borderId="0" xfId="0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20" fillId="4" borderId="3" xfId="0" applyFont="1" applyFill="1" applyBorder="1" applyAlignment="1">
      <alignment vertical="center"/>
    </xf>
    <xf numFmtId="0" fontId="20" fillId="4" borderId="1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21" borderId="5" xfId="0" applyFont="1" applyFill="1" applyBorder="1" applyAlignment="1">
      <alignment horizontal="center" vertical="center" wrapText="1"/>
    </xf>
    <xf numFmtId="0" fontId="29" fillId="22" borderId="5" xfId="0" applyFont="1" applyFill="1" applyBorder="1" applyAlignment="1">
      <alignment horizontal="center" vertical="center" wrapText="1"/>
    </xf>
    <xf numFmtId="0" fontId="30" fillId="2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/>
    <xf numFmtId="1" fontId="20" fillId="4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9" fillId="5" borderId="0" xfId="0" applyFont="1" applyFill="1" applyAlignment="1">
      <alignment horizontal="left"/>
    </xf>
    <xf numFmtId="0" fontId="19" fillId="5" borderId="12" xfId="0" applyFont="1" applyFill="1" applyBorder="1" applyAlignment="1">
      <alignment horizontal="left"/>
    </xf>
    <xf numFmtId="0" fontId="6" fillId="0" borderId="1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0" fillId="0" borderId="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0" fontId="21" fillId="3" borderId="11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6" fillId="0" borderId="6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20" fillId="0" borderId="11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2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6" fillId="0" borderId="11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24" fillId="3" borderId="11" xfId="0" applyFont="1" applyFill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6" fillId="0" borderId="1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19" fillId="5" borderId="9" xfId="0" applyFont="1" applyFill="1" applyBorder="1" applyAlignment="1">
      <alignment horizontal="center" wrapText="1"/>
    </xf>
    <xf numFmtId="0" fontId="19" fillId="5" borderId="10" xfId="0" applyFont="1" applyFill="1" applyBorder="1" applyAlignment="1">
      <alignment horizontal="center"/>
    </xf>
    <xf numFmtId="0" fontId="19" fillId="5" borderId="7" xfId="0" applyFont="1" applyFill="1" applyBorder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vertical="top"/>
    </xf>
    <xf numFmtId="0" fontId="6" fillId="0" borderId="0" xfId="0" applyFont="1" applyAlignment="1">
      <alignment vertical="top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8" fillId="16" borderId="3" xfId="0" applyFont="1" applyFill="1" applyBorder="1" applyAlignment="1">
      <alignment horizontal="center" vertical="center" wrapText="1"/>
    </xf>
    <xf numFmtId="0" fontId="18" fillId="16" borderId="23" xfId="0" applyFont="1" applyFill="1" applyBorder="1" applyAlignment="1">
      <alignment horizontal="center" vertical="center" wrapText="1"/>
    </xf>
    <xf numFmtId="0" fontId="18" fillId="16" borderId="2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1" fillId="18" borderId="3" xfId="0" applyFont="1" applyFill="1" applyBorder="1" applyAlignment="1">
      <alignment horizontal="center"/>
    </xf>
    <xf numFmtId="0" fontId="1" fillId="18" borderId="23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23" fillId="14" borderId="32" xfId="0" applyFont="1" applyFill="1" applyBorder="1" applyAlignment="1">
      <alignment horizontal="center" vertical="center"/>
    </xf>
    <xf numFmtId="0" fontId="23" fillId="14" borderId="33" xfId="0" applyFont="1" applyFill="1" applyBorder="1" applyAlignment="1">
      <alignment horizontal="center" vertical="center"/>
    </xf>
    <xf numFmtId="0" fontId="23" fillId="14" borderId="34" xfId="0" applyFont="1" applyFill="1" applyBorder="1" applyAlignment="1">
      <alignment horizontal="center" vertical="center"/>
    </xf>
    <xf numFmtId="0" fontId="20" fillId="13" borderId="32" xfId="0" applyFont="1" applyFill="1" applyBorder="1" applyAlignment="1">
      <alignment horizontal="center" vertical="center"/>
    </xf>
    <xf numFmtId="0" fontId="20" fillId="13" borderId="33" xfId="0" applyFont="1" applyFill="1" applyBorder="1" applyAlignment="1">
      <alignment horizontal="center" vertical="center"/>
    </xf>
    <xf numFmtId="0" fontId="20" fillId="13" borderId="34" xfId="0" applyFont="1" applyFill="1" applyBorder="1" applyAlignment="1">
      <alignment horizontal="center" vertical="center"/>
    </xf>
    <xf numFmtId="8" fontId="9" fillId="7" borderId="1" xfId="0" applyNumberFormat="1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7" borderId="23" xfId="0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center" vertical="center" wrapText="1"/>
    </xf>
    <xf numFmtId="8" fontId="9" fillId="17" borderId="2" xfId="0" applyNumberFormat="1" applyFont="1" applyFill="1" applyBorder="1" applyAlignment="1">
      <alignment horizontal="center" vertical="center" wrapText="1"/>
    </xf>
    <xf numFmtId="8" fontId="9" fillId="1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8" fontId="11" fillId="7" borderId="2" xfId="0" applyNumberFormat="1" applyFont="1" applyFill="1" applyBorder="1" applyAlignment="1">
      <alignment horizontal="center" vertical="center" wrapText="1"/>
    </xf>
    <xf numFmtId="8" fontId="11" fillId="7" borderId="1" xfId="0" applyNumberFormat="1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8" fontId="9" fillId="0" borderId="1" xfId="0" applyNumberFormat="1" applyFont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9" fillId="15" borderId="23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2" borderId="36" xfId="0" applyFont="1" applyFill="1" applyBorder="1" applyAlignment="1">
      <alignment horizontal="left" vertical="center" wrapText="1"/>
    </xf>
    <xf numFmtId="0" fontId="3" fillId="2" borderId="37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38" xfId="0" applyFont="1" applyFill="1" applyBorder="1" applyAlignment="1">
      <alignment horizontal="left" vertical="center" wrapText="1"/>
    </xf>
    <xf numFmtId="0" fontId="26" fillId="19" borderId="19" xfId="0" applyFont="1" applyFill="1" applyBorder="1" applyAlignment="1">
      <alignment horizontal="center" vertical="center" wrapText="1"/>
    </xf>
    <xf numFmtId="0" fontId="26" fillId="19" borderId="20" xfId="0" applyFont="1" applyFill="1" applyBorder="1" applyAlignment="1">
      <alignment horizontal="center" vertical="center" wrapText="1"/>
    </xf>
    <xf numFmtId="0" fontId="26" fillId="19" borderId="21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22" fillId="0" borderId="17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2" fillId="0" borderId="2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27" xfId="0" applyFont="1" applyBorder="1" applyAlignment="1">
      <alignment horizontal="left" vertical="top" wrapText="1"/>
    </xf>
    <xf numFmtId="0" fontId="0" fillId="0" borderId="28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8" fontId="9" fillId="8" borderId="1" xfId="0" applyNumberFormat="1" applyFont="1" applyFill="1" applyBorder="1" applyAlignment="1">
      <alignment horizontal="center" vertical="center" wrapText="1"/>
    </xf>
    <xf numFmtId="8" fontId="9" fillId="8" borderId="23" xfId="0" applyNumberFormat="1" applyFont="1" applyFill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20" borderId="25" xfId="0" applyFont="1" applyFill="1" applyBorder="1" applyAlignment="1">
      <alignment horizontal="center" vertical="center" wrapText="1"/>
    </xf>
    <xf numFmtId="0" fontId="5" fillId="20" borderId="10" xfId="0" applyFont="1" applyFill="1" applyBorder="1" applyAlignment="1">
      <alignment horizontal="center" vertical="center" wrapText="1"/>
    </xf>
    <xf numFmtId="0" fontId="5" fillId="20" borderId="17" xfId="0" applyFont="1" applyFill="1" applyBorder="1" applyAlignment="1">
      <alignment horizontal="center" vertical="center" wrapText="1"/>
    </xf>
    <xf numFmtId="0" fontId="5" fillId="20" borderId="0" xfId="0" applyFont="1" applyFill="1" applyAlignment="1">
      <alignment horizontal="center" vertical="center" wrapText="1"/>
    </xf>
    <xf numFmtId="0" fontId="5" fillId="20" borderId="28" xfId="0" applyFont="1" applyFill="1" applyBorder="1" applyAlignment="1">
      <alignment horizontal="center" vertical="center" wrapText="1"/>
    </xf>
    <xf numFmtId="0" fontId="5" fillId="20" borderId="13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164" fontId="10" fillId="0" borderId="23" xfId="0" applyNumberFormat="1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18187</xdr:colOff>
      <xdr:row>1</xdr:row>
      <xdr:rowOff>50369</xdr:rowOff>
    </xdr:from>
    <xdr:to>
      <xdr:col>5</xdr:col>
      <xdr:colOff>971550</xdr:colOff>
      <xdr:row>4</xdr:row>
      <xdr:rowOff>175259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4EC1BE-C0FF-4D63-B3F8-6A2AFA35B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587" y="250394"/>
          <a:ext cx="2820263" cy="69639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73CA627-864F-4B03-8DF0-FBE40B53572B}" autoFormatId="16" applyNumberFormats="0" applyBorderFormats="0" applyFontFormats="0" applyPatternFormats="0" applyAlignmentFormats="0" applyWidthHeightFormats="0">
  <queryTableRefresh nextId="13">
    <queryTableFields count="2">
      <queryTableField id="11" name="Name" tableColumnId="11"/>
      <queryTableField id="12" name="Valu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781A219-BEB2-4933-A9EF-B225EE6E1189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1C50555-9E1C-4B22-9070-5604A3979975}" autoFormatId="16" applyNumberFormats="0" applyBorderFormats="0" applyFontFormats="0" applyPatternFormats="0" applyAlignmentFormats="0" applyWidthHeightFormats="0">
  <queryTableRefresh nextId="2">
    <queryTableFields count="1">
      <queryTableField id="1" name="Value" tableColumnId="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97328D-2742-49DD-8D4E-1AEDAAED798C}" name="RAW" displayName="RAW" ref="B2:O119" totalsRowShown="0" headerRowDxfId="57" dataDxfId="55" headerRowBorderDxfId="56" tableBorderDxfId="54" totalsRowBorderDxfId="53">
  <tableColumns count="14">
    <tableColumn id="1" xr3:uid="{BFFF2162-203A-423F-B3C4-7EAC8C20B9F6}" name="Destination " dataDxfId="52"/>
    <tableColumn id="4" xr3:uid="{2D5EDDEB-5A78-461C-9863-003102AA01CB}" name="Key" dataDxfId="51">
      <calculatedColumnFormula>B3&amp;F3</calculatedColumnFormula>
    </tableColumn>
    <tableColumn id="2" xr3:uid="{ABDD7819-9625-418E-90EB-6F1EB9F890D3}" name="Hotel Code" dataDxfId="50"/>
    <tableColumn id="3" xr3:uid="{EC214007-06F5-499E-9D3C-478DD4A7DB84}" name="Hotel / Resort Name " dataDxfId="49"/>
    <tableColumn id="5" xr3:uid="{FD969094-EDE7-44CB-AD04-B746C190CFB4}" name="Room Type" dataDxfId="48">
      <calculatedColumnFormula>IF(I3&lt;=2500,"Budget",IF(I3&lt;=4000,"Standard","Premium"))</calculatedColumnFormula>
    </tableColumn>
    <tableColumn id="6" xr3:uid="{13B99978-0576-4EBB-890F-A07F45928AB1}" name="Double EP" dataDxfId="47"/>
    <tableColumn id="7" xr3:uid="{1DE8162B-E7F9-4724-AE88-789C9DDC0DA7}" name="Double CP" dataDxfId="46"/>
    <tableColumn id="8" xr3:uid="{4014DE9F-7074-4755-A6C7-4EB62D589AA8}" name="Double MAP" dataDxfId="45"/>
    <tableColumn id="9" xr3:uid="{3CBB7457-BC25-403A-8DBC-8486D2C1A8F2}" name="Triple EP" dataDxfId="44"/>
    <tableColumn id="10" xr3:uid="{091AD364-5BF8-49A9-A867-04CBFC66F81A}" name="Triple CP" dataDxfId="43"/>
    <tableColumn id="11" xr3:uid="{76E2A860-CD8A-49F1-876C-1CECC6D1FB05}" name="Triple MAP" dataDxfId="42"/>
    <tableColumn id="12" xr3:uid="{996A4833-6139-47C3-BA4F-4ECC5D27C479}" name="Quad EP" dataDxfId="41"/>
    <tableColumn id="13" xr3:uid="{69E2DDDD-7BBA-42EF-8926-D4CCFF867C49}" name="Quad CP" dataDxfId="40"/>
    <tableColumn id="14" xr3:uid="{936F01DD-5E83-4E7D-87E6-C40E7251937F}" name="Quad MAP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10C662-0576-4923-A12B-2921AB080BC9}" name="Price" displayName="Price" ref="A1:B751" tableType="queryTable" totalsRowShown="0">
  <autoFilter ref="A1:B751" xr:uid="{7610C662-0576-4923-A12B-2921AB080BC9}"/>
  <tableColumns count="2">
    <tableColumn id="11" xr3:uid="{5F9533BB-E092-4568-B453-6DC4FF170324}" uniqueName="11" name="Name" queryTableFieldId="11"/>
    <tableColumn id="12" xr3:uid="{07622608-F365-4E0A-A117-9D2EF216F2B1}" uniqueName="12" name="Value" queryTableFieldId="12" dataDxf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8222AC-6652-4BB0-82D2-6AF0E9F8D65A}" name="Table2" displayName="Table2" ref="J1:L12" totalsRowShown="0" headerRowDxfId="37" headerRowBorderDxfId="36" tableBorderDxfId="35" totalsRowBorderDxfId="34">
  <autoFilter ref="J1:L12" xr:uid="{478222AC-6652-4BB0-82D2-6AF0E9F8D65A}"/>
  <tableColumns count="3">
    <tableColumn id="1" xr3:uid="{DA5E6971-98A9-452A-8B33-67866DF2F705}" name="Vehicle" dataDxfId="33"/>
    <tableColumn id="2" xr3:uid="{48A37231-9D38-45B5-8C5B-C1DE6C76718B}" name="Haridwar" dataDxfId="32"/>
    <tableColumn id="3" xr3:uid="{7B790BCA-2E6C-4A75-B7F5-74833FA4462A}" name="Delhi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D6562B-161E-4437-8670-AD7CF10BFAA4}" name="Extra_fare_price" displayName="Extra_fare_price" ref="D1:E751" tableType="queryTable" totalsRowShown="0">
  <autoFilter ref="D1:E751" xr:uid="{38D6562B-161E-4437-8670-AD7CF10BFAA4}"/>
  <tableColumns count="2">
    <tableColumn id="1" xr3:uid="{998F4B05-B11E-48C1-A402-FE96E329A5F5}" uniqueName="1" name="Name" queryTableFieldId="1"/>
    <tableColumn id="2" xr3:uid="{8A01693C-EDFD-45A3-A066-DFAA95ADA5B7}" uniqueName="2" name="Value" queryTableFieldId="2" dataDxfId="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7A31206-58BB-4D58-B978-832F5676762F}" name="Table10" displayName="Table10" ref="A1:Z42" totalsRowShown="0" headerRowDxfId="29" dataDxfId="27" headerRowBorderDxfId="28" tableBorderDxfId="26">
  <autoFilter ref="A1:Z42" xr:uid="{F7A31206-58BB-4D58-B978-832F5676762F}"/>
  <tableColumns count="26">
    <tableColumn id="1" xr3:uid="{65201531-48F8-4F1D-8A21-6C4303596EBC}" name="Barkot" dataDxfId="25"/>
    <tableColumn id="2" xr3:uid="{DBEA0C98-C1E6-4BFF-AEAD-15E48871426F}" name="Number" dataDxfId="24"/>
    <tableColumn id="3" xr3:uid="{133F451F-0074-4BC4-8378-255639F67DF0}" name="Status" dataDxfId="23"/>
    <tableColumn id="4" xr3:uid="{58EC3456-482A-410A-962E-C16F31409D8D}" name="Janki Chati" dataDxfId="22"/>
    <tableColumn id="5" xr3:uid="{166E717A-90A5-4DB9-AC2A-5298DB144282}" name="Number2" dataDxfId="21"/>
    <tableColumn id="6" xr3:uid="{22D480B7-775B-405B-84D7-B248875E0A7D}" name="Status2" dataDxfId="20"/>
    <tableColumn id="7" xr3:uid="{9F0B76B3-D78F-4626-BCEF-9D30197036A7}" name="Uttarkashi" dataDxfId="19"/>
    <tableColumn id="8" xr3:uid="{D449FA6B-D05C-477E-8675-A21B59101E26}" name="Number3" dataDxfId="18"/>
    <tableColumn id="9" xr3:uid="{F08FB905-B42B-4E0C-9370-D65CBBB03B10}" name="Status3" dataDxfId="17"/>
    <tableColumn id="10" xr3:uid="{39B513BF-566B-4604-9E35-8F91A04E7072}" name="Sitapur" dataDxfId="16"/>
    <tableColumn id="11" xr3:uid="{5D02AF3B-C0A9-47EC-83F2-EEFBCF125B5A}" name="Number6" dataDxfId="15"/>
    <tableColumn id="12" xr3:uid="{0B94B383-863E-489E-A950-FD086084A3E2}" name="Status4" dataDxfId="14"/>
    <tableColumn id="13" xr3:uid="{D9D09D2D-78C9-4FD9-A854-FFB886503D48}" name="Sonprayag" dataDxfId="13"/>
    <tableColumn id="14" xr3:uid="{C0D52C10-B071-408C-87A7-8FDFBF6DB158}" name="Number63" dataDxfId="12"/>
    <tableColumn id="15" xr3:uid="{ECB78B0F-3A2E-4CA5-9D2D-868A73735AE5}" name="Status72" dataDxfId="11"/>
    <tableColumn id="16" xr3:uid="{44B291DA-A341-4426-853B-328E377AE70C}" name="Kedarnath" dataDxfId="10"/>
    <tableColumn id="17" xr3:uid="{65C74A20-0F20-41A3-905E-478875425A80}" name="Number8" dataDxfId="9"/>
    <tableColumn id="18" xr3:uid="{8BF0A320-AE8B-494D-B0AE-C5893713A9E4}" name="Status9" dataDxfId="8"/>
    <tableColumn id="19" xr3:uid="{643649F0-3DB3-4D59-BC39-1EE89936D38D}" name="Pipalkothi" dataDxfId="7"/>
    <tableColumn id="20" xr3:uid="{A627FBA3-6F32-42A6-8654-4BA92477B616}" name="Number10" dataDxfId="6"/>
    <tableColumn id="21" xr3:uid="{589E47DE-5DCD-4E38-96A5-478AE1BA9181}" name="Status11" dataDxfId="5"/>
    <tableColumn id="22" xr3:uid="{848E2184-C5C6-4991-9ABC-DFBE68B744EE}" name="Rudraprayag" dataDxfId="4"/>
    <tableColumn id="23" xr3:uid="{10B5CEE0-EB73-46ED-90E9-D638A5EE1C5D}" name="Number12" dataDxfId="3"/>
    <tableColumn id="24" xr3:uid="{4F91DBCE-24D8-4DCD-9AE6-282C822823BB}" name="Status22" dataDxfId="2"/>
    <tableColumn id="25" xr3:uid="{B11C4201-1D8E-40C4-841B-789E5D6D9D53}" name="Status23" dataDxfId="1"/>
    <tableColumn id="26" xr3:uid="{95CBC534-771B-4BCE-AD63-17157DA498FB}" name="Status24" dataDxfId="0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6638DB-33F8-4334-86FB-83F54A6D8CE4}" name="Table5" displayName="Table5" ref="D21:F124" totalsRowShown="0">
  <autoFilter ref="D21:F124" xr:uid="{9C6638DB-33F8-4334-86FB-83F54A6D8CE4}"/>
  <tableColumns count="3">
    <tableColumn id="1" xr3:uid="{36777E36-599F-4C86-84A8-C443A31BB2DB}" name="Premium">
      <calculatedColumnFormula>$A22&amp;D$21</calculatedColumnFormula>
    </tableColumn>
    <tableColumn id="2" xr3:uid="{499E98B0-8069-4E9C-A4D4-D830D1A8C3D2}" name="Budget">
      <calculatedColumnFormula>$A22&amp;E$21</calculatedColumnFormula>
    </tableColumn>
    <tableColumn id="3" xr3:uid="{56337647-1FAD-4185-8B3C-33897249C1D5}" name="Standard">
      <calculatedColumnFormula>$A22&amp;F$21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68A792-8142-458C-83E8-0072371274E0}" name="Table5_1" displayName="Table5_1" ref="G21:G72" tableType="queryTable" totalsRowShown="0">
  <autoFilter ref="G21:G72" xr:uid="{1D68A792-8142-458C-83E8-0072371274E0}"/>
  <tableColumns count="1">
    <tableColumn id="1" xr3:uid="{83118DEE-3626-4BCD-A9F6-FEE9235C90A5}" uniqueName="1" name="Value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E44D68-326C-4A8A-A26F-07C459A5A592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ateonclick.com/ra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BDBD-3AB3-4C3A-B7FD-1FA8A8515D9B}">
  <sheetPr codeName="Sheet1"/>
  <dimension ref="A1:AC112"/>
  <sheetViews>
    <sheetView showGridLines="0" topLeftCell="C27" zoomScaleNormal="100" workbookViewId="0">
      <selection activeCell="D45" sqref="D45:M45"/>
    </sheetView>
  </sheetViews>
  <sheetFormatPr defaultRowHeight="14.4" x14ac:dyDescent="0.3"/>
  <cols>
    <col min="1" max="1" width="23.109375" hidden="1" customWidth="1"/>
    <col min="2" max="2" width="12.6640625" hidden="1" customWidth="1"/>
    <col min="3" max="3" width="8" bestFit="1" customWidth="1"/>
    <col min="4" max="4" width="14.33203125" customWidth="1"/>
    <col min="5" max="5" width="13.6640625" customWidth="1"/>
    <col min="6" max="6" width="22.44140625" customWidth="1"/>
    <col min="7" max="7" width="10.33203125" bestFit="1" customWidth="1"/>
    <col min="8" max="8" width="10.33203125" customWidth="1"/>
    <col min="9" max="9" width="6.5546875" customWidth="1"/>
    <col min="10" max="10" width="14.5546875" bestFit="1" customWidth="1"/>
    <col min="11" max="11" width="9.44140625" bestFit="1" customWidth="1"/>
    <col min="12" max="12" width="8" customWidth="1"/>
    <col min="13" max="13" width="9.6640625" customWidth="1"/>
    <col min="14" max="14" width="13.33203125" customWidth="1"/>
    <col min="15" max="15" width="12.6640625" bestFit="1" customWidth="1"/>
    <col min="16" max="16" width="7.6640625" bestFit="1" customWidth="1"/>
    <col min="17" max="17" width="9" bestFit="1" customWidth="1"/>
    <col min="18" max="18" width="11.33203125" customWidth="1"/>
    <col min="19" max="19" width="12.33203125" customWidth="1"/>
    <col min="20" max="20" width="11.33203125" bestFit="1" customWidth="1"/>
    <col min="21" max="21" width="9.88671875" bestFit="1" customWidth="1"/>
    <col min="22" max="22" width="7" bestFit="1" customWidth="1"/>
    <col min="23" max="23" width="10.33203125" bestFit="1" customWidth="1"/>
    <col min="26" max="26" width="11.33203125" bestFit="1" customWidth="1"/>
  </cols>
  <sheetData>
    <row r="1" spans="4:18" ht="15" thickBot="1" x14ac:dyDescent="0.35">
      <c r="D1" s="55" t="s">
        <v>85</v>
      </c>
    </row>
    <row r="2" spans="4:18" x14ac:dyDescent="0.3">
      <c r="D2" s="170"/>
      <c r="E2" s="171"/>
      <c r="F2" s="171"/>
      <c r="G2" s="172"/>
      <c r="H2" s="176" t="s">
        <v>104</v>
      </c>
      <c r="I2" s="176"/>
      <c r="J2" s="176"/>
      <c r="K2" s="176"/>
      <c r="L2" s="176"/>
      <c r="M2" s="177"/>
      <c r="N2" s="10"/>
      <c r="O2" s="10"/>
      <c r="P2" s="10"/>
      <c r="Q2" s="10"/>
      <c r="R2" s="10"/>
    </row>
    <row r="3" spans="4:18" x14ac:dyDescent="0.3">
      <c r="D3" s="173"/>
      <c r="E3" s="174"/>
      <c r="F3" s="174"/>
      <c r="G3" s="175"/>
      <c r="H3" s="178"/>
      <c r="I3" s="178"/>
      <c r="J3" s="178"/>
      <c r="K3" s="178"/>
      <c r="L3" s="178"/>
      <c r="M3" s="179"/>
      <c r="N3" s="10"/>
      <c r="O3" s="10"/>
      <c r="P3" s="10"/>
      <c r="Q3" s="10"/>
      <c r="R3" s="10"/>
    </row>
    <row r="4" spans="4:18" x14ac:dyDescent="0.3">
      <c r="D4" s="173"/>
      <c r="E4" s="174"/>
      <c r="F4" s="174"/>
      <c r="G4" s="175"/>
      <c r="H4" s="178"/>
      <c r="I4" s="178"/>
      <c r="J4" s="178"/>
      <c r="K4" s="178"/>
      <c r="L4" s="178"/>
      <c r="M4" s="179"/>
      <c r="N4" s="10"/>
      <c r="O4" s="10"/>
      <c r="P4" s="10"/>
      <c r="Q4" s="10"/>
      <c r="R4" s="10"/>
    </row>
    <row r="5" spans="4:18" ht="28.5" customHeight="1" thickBot="1" x14ac:dyDescent="0.35">
      <c r="D5" s="173"/>
      <c r="E5" s="174"/>
      <c r="F5" s="174"/>
      <c r="G5" s="175"/>
      <c r="H5" s="180"/>
      <c r="I5" s="180"/>
      <c r="J5" s="180"/>
      <c r="K5" s="180"/>
      <c r="L5" s="180"/>
      <c r="M5" s="181"/>
      <c r="N5" s="10"/>
      <c r="O5" s="10"/>
      <c r="P5" s="10"/>
      <c r="Q5" s="10"/>
      <c r="R5" s="10"/>
    </row>
    <row r="6" spans="4:18" ht="30" x14ac:dyDescent="0.3">
      <c r="D6" s="182" t="s">
        <v>436</v>
      </c>
      <c r="E6" s="183"/>
      <c r="F6" s="183"/>
      <c r="G6" s="183"/>
      <c r="H6" s="183"/>
      <c r="I6" s="183"/>
      <c r="J6" s="183"/>
      <c r="K6" s="183"/>
      <c r="L6" s="183"/>
      <c r="M6" s="184"/>
    </row>
    <row r="7" spans="4:18" x14ac:dyDescent="0.3">
      <c r="D7" s="185" t="str">
        <f>IF(AND(F17&lt;&gt;"", H17&lt;&gt;""), "For " &amp; TEXT(LEFT(F17, FIND(" ", H17)-1), "00") &amp; " Nights " &amp; TEXT(LEFT(H17, FIND(" ", H17)-1), "00") &amp; " Days", "")</f>
        <v>For 06 Nights 07 Days</v>
      </c>
      <c r="E7" s="186"/>
      <c r="F7" s="186"/>
      <c r="G7" s="186"/>
      <c r="H7" s="186"/>
      <c r="I7" s="186"/>
      <c r="J7" s="186"/>
      <c r="K7" s="186"/>
      <c r="L7" s="186"/>
      <c r="M7" s="187"/>
    </row>
    <row r="8" spans="4:18" ht="22.8" x14ac:dyDescent="0.3">
      <c r="D8" s="188" t="s">
        <v>6</v>
      </c>
      <c r="E8" s="189"/>
      <c r="F8" s="189"/>
      <c r="G8" s="189"/>
      <c r="H8" s="189"/>
      <c r="I8" s="189"/>
      <c r="J8" s="189"/>
      <c r="K8" s="189"/>
      <c r="L8" s="189"/>
      <c r="M8" s="190"/>
    </row>
    <row r="9" spans="4:18" x14ac:dyDescent="0.3">
      <c r="D9" s="168" t="s">
        <v>7</v>
      </c>
      <c r="E9" s="134"/>
      <c r="F9" s="134"/>
      <c r="G9" s="134"/>
      <c r="H9" s="134"/>
      <c r="I9" s="134"/>
      <c r="J9" s="134"/>
      <c r="K9" s="134"/>
      <c r="L9" s="134"/>
      <c r="M9" s="169"/>
    </row>
    <row r="10" spans="4:18" x14ac:dyDescent="0.3">
      <c r="D10" s="198"/>
      <c r="E10" s="199"/>
      <c r="F10" s="199"/>
      <c r="G10" s="199"/>
      <c r="H10" s="199"/>
      <c r="I10" s="199"/>
      <c r="J10" s="199"/>
      <c r="K10" s="199"/>
      <c r="L10" s="199"/>
      <c r="M10" s="200"/>
    </row>
    <row r="11" spans="4:18" x14ac:dyDescent="0.3">
      <c r="D11" s="201" t="s">
        <v>437</v>
      </c>
      <c r="E11" s="202"/>
      <c r="F11" s="202"/>
      <c r="G11" s="202"/>
      <c r="H11" s="202"/>
      <c r="I11" s="202"/>
      <c r="J11" s="202"/>
      <c r="K11" s="202"/>
      <c r="L11" s="202"/>
      <c r="M11" s="203"/>
    </row>
    <row r="12" spans="4:18" x14ac:dyDescent="0.3">
      <c r="D12" s="204"/>
      <c r="E12" s="86"/>
      <c r="F12" s="86"/>
      <c r="G12" s="86"/>
      <c r="H12" s="86"/>
      <c r="I12" s="86"/>
      <c r="J12" s="86"/>
      <c r="K12" s="86"/>
      <c r="L12" s="86"/>
      <c r="M12" s="205"/>
    </row>
    <row r="13" spans="4:18" x14ac:dyDescent="0.3">
      <c r="D13" s="204" t="s">
        <v>8</v>
      </c>
      <c r="E13" s="86"/>
      <c r="F13" s="86"/>
      <c r="G13" s="86"/>
      <c r="H13" s="86"/>
      <c r="I13" s="86"/>
      <c r="J13" s="86"/>
      <c r="K13" s="86"/>
      <c r="L13" s="86"/>
      <c r="M13" s="205"/>
    </row>
    <row r="14" spans="4:18" x14ac:dyDescent="0.3">
      <c r="D14" s="206"/>
      <c r="E14" s="207"/>
      <c r="F14" s="207"/>
      <c r="G14" s="207"/>
      <c r="H14" s="207"/>
      <c r="I14" s="207"/>
      <c r="J14" s="207"/>
      <c r="K14" s="207"/>
      <c r="L14" s="207"/>
      <c r="M14" s="208"/>
    </row>
    <row r="15" spans="4:18" ht="22.8" x14ac:dyDescent="0.3">
      <c r="D15" s="191" t="s">
        <v>9</v>
      </c>
      <c r="E15" s="192"/>
      <c r="F15" s="192"/>
      <c r="G15" s="192"/>
      <c r="H15" s="192"/>
      <c r="I15" s="192"/>
      <c r="J15" s="192"/>
      <c r="K15" s="192"/>
      <c r="L15" s="192"/>
      <c r="M15" s="193"/>
    </row>
    <row r="16" spans="4:18" ht="26.4" x14ac:dyDescent="0.3">
      <c r="D16" s="194" t="s">
        <v>10</v>
      </c>
      <c r="E16" s="195"/>
      <c r="F16" s="209" t="s">
        <v>11</v>
      </c>
      <c r="G16" s="209"/>
      <c r="H16" s="210" t="s">
        <v>12</v>
      </c>
      <c r="I16" s="211"/>
      <c r="J16" s="212"/>
      <c r="K16" s="196">
        <v>3</v>
      </c>
      <c r="L16" s="197"/>
      <c r="M16" s="197"/>
      <c r="N16" s="14" t="s">
        <v>16</v>
      </c>
      <c r="O16" s="79" t="s">
        <v>17</v>
      </c>
    </row>
    <row r="17" spans="1:28" ht="26.4" x14ac:dyDescent="0.3">
      <c r="D17" s="216" t="s">
        <v>67</v>
      </c>
      <c r="E17" s="217"/>
      <c r="F17" s="218" t="str">
        <f>(H37-G37)&amp;" "&amp;"Nights"</f>
        <v>6 Nights</v>
      </c>
      <c r="G17" s="219"/>
      <c r="H17" s="220" t="str">
        <f>DAY(H37-G37)+1&amp;" "&amp;"Days"</f>
        <v>7 Days</v>
      </c>
      <c r="I17" s="220"/>
      <c r="J17" s="12" t="str">
        <f>O17</f>
        <v>No Extra Bed</v>
      </c>
      <c r="K17" s="217">
        <f>IF(O16="Double", MOD(K16,2),IF(O16="Triple", MOD(K16,3),IF(O16="Quad", MOD(K16,4), 0)))</f>
        <v>0</v>
      </c>
      <c r="L17" s="217"/>
      <c r="M17" s="221"/>
      <c r="N17" s="14" t="s">
        <v>30</v>
      </c>
      <c r="O17" s="41" t="s">
        <v>1059</v>
      </c>
    </row>
    <row r="18" spans="1:28" x14ac:dyDescent="0.3">
      <c r="D18" s="13" t="s">
        <v>13</v>
      </c>
      <c r="E18" s="11" t="s">
        <v>671</v>
      </c>
      <c r="F18" s="229" t="s">
        <v>14</v>
      </c>
      <c r="G18" s="230"/>
      <c r="H18" s="221" t="s">
        <v>671</v>
      </c>
      <c r="I18" s="231"/>
      <c r="J18" s="12" t="s">
        <v>68</v>
      </c>
      <c r="K18" s="232">
        <f>G37</f>
        <v>46184</v>
      </c>
      <c r="L18" s="233"/>
      <c r="M18" s="233"/>
      <c r="N18" s="14"/>
      <c r="O18" s="79"/>
    </row>
    <row r="19" spans="1:28" ht="27.6" x14ac:dyDescent="0.3">
      <c r="D19" s="234" t="s">
        <v>15</v>
      </c>
      <c r="E19" s="230"/>
      <c r="F19" s="210" t="str" cm="1">
        <f t="array" ref="F19">_xlfn.TEXTJOIN(", ", TRUE, _xlfn.UNIQUE(_xlfn._xlws.FILTER(D26:D36, D26:D36&lt;&gt;"")))</f>
        <v>Sonprayag, Kedarnath, Pipalkoti, Badarinath, Rudraprayag</v>
      </c>
      <c r="G19" s="211"/>
      <c r="H19" s="211"/>
      <c r="I19" s="212"/>
      <c r="J19" s="12" t="s">
        <v>69</v>
      </c>
      <c r="K19" s="232">
        <f>H37</f>
        <v>46190</v>
      </c>
      <c r="L19" s="233"/>
      <c r="M19" s="233"/>
      <c r="N19" s="14" t="s">
        <v>19</v>
      </c>
      <c r="O19" s="41" t="s">
        <v>102</v>
      </c>
    </row>
    <row r="20" spans="1:28" x14ac:dyDescent="0.3">
      <c r="D20" s="222" t="s">
        <v>438</v>
      </c>
      <c r="E20" s="223"/>
      <c r="F20" s="223"/>
      <c r="G20" s="223"/>
      <c r="H20" s="223"/>
      <c r="I20" s="223"/>
      <c r="J20" s="223"/>
      <c r="K20" s="223"/>
      <c r="L20" s="223"/>
      <c r="M20" s="223"/>
      <c r="N20" s="21"/>
      <c r="O20" s="21"/>
    </row>
    <row r="21" spans="1:28" x14ac:dyDescent="0.3">
      <c r="D21" s="224"/>
      <c r="E21" s="225"/>
      <c r="F21" s="225"/>
      <c r="G21" s="225"/>
      <c r="H21" s="225"/>
      <c r="I21" s="225"/>
      <c r="J21" s="225"/>
      <c r="K21" s="225"/>
      <c r="L21" s="225"/>
      <c r="M21" s="225"/>
      <c r="N21" s="14" t="s">
        <v>66</v>
      </c>
      <c r="O21" s="80">
        <v>0.01</v>
      </c>
    </row>
    <row r="22" spans="1:28" x14ac:dyDescent="0.3">
      <c r="D22" s="226"/>
      <c r="E22" s="227"/>
      <c r="F22" s="227"/>
      <c r="G22" s="227"/>
      <c r="H22" s="227"/>
      <c r="I22" s="227"/>
      <c r="J22" s="227"/>
      <c r="K22" s="227"/>
      <c r="L22" s="227"/>
      <c r="M22" s="227"/>
      <c r="N22" s="14" t="s">
        <v>73</v>
      </c>
      <c r="O22" s="21">
        <f>V37*O21</f>
        <v>721.5</v>
      </c>
    </row>
    <row r="23" spans="1:28" ht="15" thickBot="1" x14ac:dyDescent="0.35">
      <c r="D23" s="235"/>
      <c r="E23" s="235"/>
      <c r="F23" s="235"/>
      <c r="G23" s="235"/>
      <c r="H23" s="235"/>
      <c r="I23" s="235"/>
      <c r="J23" s="235"/>
      <c r="K23" s="235"/>
      <c r="L23" s="235"/>
      <c r="M23" s="235"/>
    </row>
    <row r="24" spans="1:28" ht="23.4" thickBot="1" x14ac:dyDescent="0.35">
      <c r="D24" s="139" t="str">
        <f>"Package Name: Char Dham " &amp;IF(COUNTIF(E26:E36,"Premium")=COUNTA(E26:E36),"Premium Package",IF(COUNTIF(E26:E36,"Standard")=COUNTA(E26:E36),"Standard Package",IF(COUNTIF(E26:E36,"Budget")=COUNTA(E26:E36),"Budget Package","Mix Package")))</f>
        <v>Package Name: Char Dham Mix Package</v>
      </c>
      <c r="E24" s="140"/>
      <c r="F24" s="140"/>
      <c r="G24" s="140"/>
      <c r="H24" s="140"/>
      <c r="I24" s="140"/>
      <c r="J24" s="140"/>
      <c r="K24" s="140"/>
      <c r="L24" s="140"/>
      <c r="M24" s="141"/>
      <c r="N24" s="42"/>
      <c r="O24" s="145" t="s">
        <v>45</v>
      </c>
      <c r="P24" s="146"/>
      <c r="Q24" s="146"/>
      <c r="R24" s="146"/>
      <c r="S24" s="147"/>
      <c r="T24" s="142" t="s">
        <v>28</v>
      </c>
      <c r="U24" s="143"/>
      <c r="V24" s="144"/>
    </row>
    <row r="25" spans="1:28" ht="39.6" x14ac:dyDescent="0.3">
      <c r="D25" s="34" t="s">
        <v>20</v>
      </c>
      <c r="E25" s="35" t="s">
        <v>112</v>
      </c>
      <c r="F25" s="35" t="s">
        <v>5</v>
      </c>
      <c r="G25" s="35" t="s">
        <v>21</v>
      </c>
      <c r="H25" s="35" t="s">
        <v>22</v>
      </c>
      <c r="I25" s="35" t="s">
        <v>23</v>
      </c>
      <c r="J25" s="35" t="s">
        <v>19</v>
      </c>
      <c r="K25" s="35" t="s">
        <v>18</v>
      </c>
      <c r="L25" s="35" t="s">
        <v>24</v>
      </c>
      <c r="M25" s="36" t="s">
        <v>12</v>
      </c>
      <c r="N25" s="35" t="s">
        <v>37</v>
      </c>
      <c r="O25" s="32" t="s">
        <v>27</v>
      </c>
      <c r="P25" s="32" t="s">
        <v>17</v>
      </c>
      <c r="Q25" s="53" t="s">
        <v>117</v>
      </c>
      <c r="R25" s="25" t="str">
        <f>IF(O17="NA", "Cost Not Applicable", "Cost of " &amp; O17)</f>
        <v>Cost of No Extra Bed</v>
      </c>
      <c r="S25" s="25" t="s">
        <v>83</v>
      </c>
      <c r="T25" s="26" t="s">
        <v>44</v>
      </c>
      <c r="U25" s="26" t="str">
        <f>IF(O17="NA", "Cost Not Applicable", "Total Cost of " &amp; O17)</f>
        <v>Total Cost of No Extra Bed</v>
      </c>
      <c r="V25" s="48" t="s">
        <v>28</v>
      </c>
      <c r="W25" s="33" t="s">
        <v>74</v>
      </c>
      <c r="X25" s="18" t="s">
        <v>29</v>
      </c>
    </row>
    <row r="26" spans="1:28" s="39" customFormat="1" x14ac:dyDescent="0.3">
      <c r="A26" s="39" t="str">
        <f t="shared" ref="A26:A36" si="0">IF(F26="","",F26&amp;"-"&amp;E26&amp;"-"&amp;$O$16&amp;" "&amp;$K26)</f>
        <v>Kailashpati Resort -Standard-Triple MAP</v>
      </c>
      <c r="B26" s="39" t="str">
        <f t="shared" ref="B26:B36" si="1">IF(F26="","",F26&amp;"-"&amp;$O$17&amp;"-"&amp;$O$16&amp;" "&amp;$K26)</f>
        <v>Kailashpati Resort -No Extra Bed-Triple MAP</v>
      </c>
      <c r="D26" s="61" t="s">
        <v>170</v>
      </c>
      <c r="E26" s="15" t="s">
        <v>109</v>
      </c>
      <c r="F26" s="37" t="s">
        <v>172</v>
      </c>
      <c r="G26" s="16">
        <f>IF(ISNUMBER($G$37), $G$37, "")</f>
        <v>46184</v>
      </c>
      <c r="H26" s="16">
        <f>IF(I26=0, "", G26 + I26)</f>
        <v>46185</v>
      </c>
      <c r="I26" s="17">
        <v>1</v>
      </c>
      <c r="J26" s="17" t="str">
        <f t="shared" ref="J26:J36" si="2">IF(F26="","",$O$19)</f>
        <v>Ertiga 7 Seater</v>
      </c>
      <c r="K26" s="17" t="s">
        <v>532</v>
      </c>
      <c r="L26" s="17">
        <f>IF(F26="","",FLOOR($K$16/IF($O$16="Double",2,IF($O$16="Triple",3,4)),1))</f>
        <v>1</v>
      </c>
      <c r="M26" s="24">
        <f t="shared" ref="M26:M36" si="3">IF(F26="","",$K$16)</f>
        <v>3</v>
      </c>
      <c r="N26" s="1">
        <f t="shared" ref="N26:N36" si="4">IF(F26="","",$K$17)</f>
        <v>0</v>
      </c>
      <c r="O26" s="1" t="str">
        <f>IFERROR(IF(F26="","",IF($O$16="Double",VLOOKUP($A26,Price[],2,0),"")),0)</f>
        <v/>
      </c>
      <c r="P26" s="1">
        <f>IFERROR(IF(F26="","",IF($O$16="Triple",VLOOKUP($A26,Price[],2,0),"")),0)</f>
        <v>4200</v>
      </c>
      <c r="Q26" s="1" t="str">
        <f>IFERROR(IF(G26="","",IF($O$16="Quad",VLOOKUP($A26,Price[],2,0),"")),0)</f>
        <v/>
      </c>
      <c r="R26" s="1">
        <f>IFERROR(IF(F26="","",VLOOKUP($B26,Extra_fare_price[#All],2,0)),0)</f>
        <v>0</v>
      </c>
      <c r="S26" s="1">
        <f>IF(OR($O$19="",D26="",I26=""),"",I26 *IF(AND($E$18&lt;&gt;"",$H$18&lt;&gt;""),IF($E$18=$H$18,VLOOKUP($O$19, Price!$J:$L, MATCH(TRIM($E$18), Price!$J$1:$L$1, 0), FALSE),""),IF($E$18&lt;&gt;"",VLOOKUP($O$19, Price!$J:$L, MATCH(TRIM($E$18), Price!$J$1:$L$1, 0), FALSE),IF($H$18&lt;&gt;"",VLOOKUP($O$19, Price!$J:$L, MATCH(TRIM($H$18), Price!$J$1:$L$1, 0), FALSE),""))))</f>
        <v>5300</v>
      </c>
      <c r="T26" s="1">
        <f>IF(F26="","",SUM(O26:Q26)*I26*L26)</f>
        <v>4200</v>
      </c>
      <c r="U26" s="1">
        <f t="shared" ref="U26:U35" si="5">IF(F26="","",R26*I26)</f>
        <v>0</v>
      </c>
      <c r="V26" s="1">
        <f t="shared" ref="V26:V36" si="6">IF(AND(S26="",T26="", U26=""), "", SUM(S26:U26))</f>
        <v>9500</v>
      </c>
      <c r="W26" s="1">
        <v>6500</v>
      </c>
      <c r="X26" s="1">
        <f t="shared" ref="X26:X36" si="7">IF(V26="","",V26-W26)</f>
        <v>3000</v>
      </c>
      <c r="Y26" s="39" t="str">
        <f t="shared" ref="Y26:Y37" si="8">IF(V26 = (S26 +T26 + U26), "✅", "❌")</f>
        <v>✅</v>
      </c>
      <c r="Z26" s="39">
        <v>6500</v>
      </c>
      <c r="AA26" s="39">
        <f>Z26-W26</f>
        <v>0</v>
      </c>
    </row>
    <row r="27" spans="1:28" s="38" customFormat="1" x14ac:dyDescent="0.3">
      <c r="A27" s="39" t="str">
        <f t="shared" si="0"/>
        <v>Bagwari House -Budget-Triple EP</v>
      </c>
      <c r="B27" s="39" t="str">
        <f t="shared" si="1"/>
        <v>Bagwari House -No Extra Bed-Triple EP</v>
      </c>
      <c r="D27" s="61" t="s">
        <v>153</v>
      </c>
      <c r="E27" s="15" t="s">
        <v>111</v>
      </c>
      <c r="F27" s="37" t="s">
        <v>1262</v>
      </c>
      <c r="G27" s="16">
        <f t="shared" ref="G27:G36" si="9">IF(F27="","",IF(ISNUMBER(H26), H26, ""))</f>
        <v>46185</v>
      </c>
      <c r="H27" s="16">
        <f>IF(I27=0, "", G27 + I27)</f>
        <v>46186</v>
      </c>
      <c r="I27" s="17">
        <v>1</v>
      </c>
      <c r="J27" s="17" t="str">
        <f t="shared" si="2"/>
        <v>Ertiga 7 Seater</v>
      </c>
      <c r="K27" s="17" t="s">
        <v>1265</v>
      </c>
      <c r="L27" s="17">
        <f t="shared" ref="L27:L36" si="10">IF(F27="","",FLOOR($K$16/IF($O$16="Double",2,IF($O$16="Triple",3,4)),1))</f>
        <v>1</v>
      </c>
      <c r="M27" s="24">
        <f t="shared" si="3"/>
        <v>3</v>
      </c>
      <c r="N27" s="1">
        <f t="shared" si="4"/>
        <v>0</v>
      </c>
      <c r="O27" s="1" t="str">
        <f>IFERROR(IF(F27="","",IF($O$16="Double",VLOOKUP($A27,Price[],2,0),"")),0)</f>
        <v/>
      </c>
      <c r="P27" s="1">
        <f>IFERROR(IF(F27="","",IF($O$16="Triple",VLOOKUP($A27,Price[],2,0),"")),0)</f>
        <v>7200</v>
      </c>
      <c r="Q27" s="1" t="str">
        <f>IFERROR(IF(G27="","",IF($O$16="Quad",VLOOKUP($A27,Price[],2,0),"")),0)</f>
        <v/>
      </c>
      <c r="R27" s="1">
        <f>IFERROR(IF(F27="","",VLOOKUP($B27,Extra_fare_price[#All],2,0)),0)</f>
        <v>0</v>
      </c>
      <c r="S27" s="1">
        <f>IF(OR($O$19="",D27="",I27=""),"",I27 *IF(AND($E$18&lt;&gt;"",$H$18&lt;&gt;""),IF($E$18=$H$18,VLOOKUP($O$19, Price!$J:$L, MATCH(TRIM($E$18), Price!$J$1:$L$1, 0), FALSE),""),IF($E$18&lt;&gt;"",VLOOKUP($O$19, Price!$J:$L, MATCH(TRIM($E$18), Price!$J$1:$L$1, 0), FALSE),IF($H$18&lt;&gt;"",VLOOKUP($O$19, Price!$J:$L, MATCH(TRIM($H$18), Price!$J$1:$L$1, 0), FALSE),""))))</f>
        <v>5300</v>
      </c>
      <c r="T27" s="1">
        <f t="shared" ref="T27:T36" si="11">IF(F27="","",SUM(O27:Q27)*I27*L27)</f>
        <v>7200</v>
      </c>
      <c r="U27" s="1">
        <f t="shared" si="5"/>
        <v>0</v>
      </c>
      <c r="V27" s="1">
        <f t="shared" si="6"/>
        <v>12500</v>
      </c>
      <c r="W27" s="1">
        <v>10000</v>
      </c>
      <c r="X27" s="1">
        <f t="shared" si="7"/>
        <v>2500</v>
      </c>
      <c r="Y27" s="39" t="str">
        <f t="shared" si="8"/>
        <v>✅</v>
      </c>
      <c r="Z27" s="39">
        <v>10000</v>
      </c>
      <c r="AA27" s="39">
        <f t="shared" ref="AA27:AA35" si="12">Z27-W27</f>
        <v>0</v>
      </c>
    </row>
    <row r="28" spans="1:28" s="38" customFormat="1" x14ac:dyDescent="0.3">
      <c r="A28" s="39" t="str">
        <f t="shared" si="0"/>
        <v>Kailashpati Resort -Standard-Triple MAP</v>
      </c>
      <c r="B28" s="39" t="str">
        <f t="shared" si="1"/>
        <v>Kailashpati Resort -No Extra Bed-Triple MAP</v>
      </c>
      <c r="D28" s="61" t="s">
        <v>170</v>
      </c>
      <c r="E28" s="15" t="s">
        <v>109</v>
      </c>
      <c r="F28" s="37" t="s">
        <v>172</v>
      </c>
      <c r="G28" s="16">
        <f t="shared" si="9"/>
        <v>46186</v>
      </c>
      <c r="H28" s="16">
        <f>IF(I28=0, "", G28 + I28)</f>
        <v>46187</v>
      </c>
      <c r="I28" s="17">
        <v>1</v>
      </c>
      <c r="J28" s="17" t="str">
        <f t="shared" si="2"/>
        <v>Ertiga 7 Seater</v>
      </c>
      <c r="K28" s="17" t="s">
        <v>532</v>
      </c>
      <c r="L28" s="17">
        <f t="shared" si="10"/>
        <v>1</v>
      </c>
      <c r="M28" s="24">
        <f t="shared" si="3"/>
        <v>3</v>
      </c>
      <c r="N28" s="1">
        <f t="shared" si="4"/>
        <v>0</v>
      </c>
      <c r="O28" s="1" t="str">
        <f>IFERROR(IF(F28="","",IF($O$16="Double",VLOOKUP($A28,Price[],2,0),"")),0)</f>
        <v/>
      </c>
      <c r="P28" s="1">
        <f>IFERROR(IF(F28="","",IF($O$16="Triple",VLOOKUP($A28,Price[],2,0),"")),0)</f>
        <v>4200</v>
      </c>
      <c r="Q28" s="1" t="str">
        <f>IFERROR(IF(G28="","",IF($O$16="Quad",VLOOKUP($A28,Price[],2,0),"")),0)</f>
        <v/>
      </c>
      <c r="R28" s="1">
        <f>IFERROR(IF(F28="","",VLOOKUP($B28,Extra_fare_price[#All],2,0)),0)</f>
        <v>0</v>
      </c>
      <c r="S28" s="1">
        <f>IF(OR($O$19="",D28="",I28=""),"",I28 *IF(AND($E$18&lt;&gt;"",$H$18&lt;&gt;""),IF($E$18=$H$18,VLOOKUP($O$19, Price!$J:$L, MATCH(TRIM($E$18), Price!$J$1:$L$1, 0), FALSE),""),IF($E$18&lt;&gt;"",VLOOKUP($O$19, Price!$J:$L, MATCH(TRIM($E$18), Price!$J$1:$L$1, 0), FALSE),IF($H$18&lt;&gt;"",VLOOKUP($O$19, Price!$J:$L, MATCH(TRIM($H$18), Price!$J$1:$L$1, 0), FALSE),""))))</f>
        <v>5300</v>
      </c>
      <c r="T28" s="1">
        <f t="shared" si="11"/>
        <v>4200</v>
      </c>
      <c r="U28" s="1">
        <f t="shared" si="5"/>
        <v>0</v>
      </c>
      <c r="V28" s="1">
        <f t="shared" si="6"/>
        <v>9500</v>
      </c>
      <c r="W28" s="1">
        <v>6000</v>
      </c>
      <c r="X28" s="1">
        <f t="shared" si="7"/>
        <v>3500</v>
      </c>
      <c r="Y28" s="39" t="str">
        <f t="shared" si="8"/>
        <v>✅</v>
      </c>
      <c r="Z28" s="39">
        <v>6000</v>
      </c>
      <c r="AA28" s="39">
        <f t="shared" si="12"/>
        <v>0</v>
      </c>
      <c r="AB28" s="38" t="s">
        <v>1193</v>
      </c>
    </row>
    <row r="29" spans="1:28" s="38" customFormat="1" x14ac:dyDescent="0.3">
      <c r="A29" s="39" t="str">
        <f t="shared" si="0"/>
        <v>Hotel Le Meadows -Premium-Triple MAP</v>
      </c>
      <c r="B29" s="39" t="str">
        <f t="shared" si="1"/>
        <v>Hotel Le Meadows -No Extra Bed-Triple MAP</v>
      </c>
      <c r="D29" s="61" t="s">
        <v>184</v>
      </c>
      <c r="E29" s="15" t="s">
        <v>110</v>
      </c>
      <c r="F29" s="37" t="s">
        <v>190</v>
      </c>
      <c r="G29" s="16">
        <f t="shared" si="9"/>
        <v>46187</v>
      </c>
      <c r="H29" s="16">
        <f t="shared" ref="H29:H35" si="13">IF(I29=0, "", G29 + I29)</f>
        <v>46188</v>
      </c>
      <c r="I29" s="17">
        <v>1</v>
      </c>
      <c r="J29" s="17" t="str">
        <f t="shared" si="2"/>
        <v>Ertiga 7 Seater</v>
      </c>
      <c r="K29" s="17" t="s">
        <v>532</v>
      </c>
      <c r="L29" s="17">
        <f t="shared" si="10"/>
        <v>1</v>
      </c>
      <c r="M29" s="24">
        <f t="shared" si="3"/>
        <v>3</v>
      </c>
      <c r="N29" s="1">
        <f t="shared" si="4"/>
        <v>0</v>
      </c>
      <c r="O29" s="1" t="str">
        <f>IFERROR(IF(F29="","",IF($O$16="Double",VLOOKUP($A29,Price[],2,0),"")),0)</f>
        <v/>
      </c>
      <c r="P29" s="1">
        <f>IFERROR(IF(F29="","",IF($O$16="Triple",VLOOKUP($A29,Price[],2,0),"")),0)</f>
        <v>7400</v>
      </c>
      <c r="Q29" s="1" t="str">
        <f>IFERROR(IF(G29="","",IF($O$16="Quad",VLOOKUP($A29,Price[],2,0),"")),0)</f>
        <v/>
      </c>
      <c r="R29" s="1">
        <f>IFERROR(IF(F29="","",VLOOKUP($B29,Extra_fare_price[#All],2,0)),0)</f>
        <v>0</v>
      </c>
      <c r="S29" s="1">
        <f>IF(OR($O$19="",D29="",I29=""),"",I29 *IF(AND($E$18&lt;&gt;"",$H$18&lt;&gt;""),IF($E$18=$H$18,VLOOKUP($O$19, Price!$J:$L, MATCH(TRIM($E$18), Price!$J$1:$L$1, 0), FALSE),""),IF($E$18&lt;&gt;"",VLOOKUP($O$19, Price!$J:$L, MATCH(TRIM($E$18), Price!$J$1:$L$1, 0), FALSE),IF($H$18&lt;&gt;"",VLOOKUP($O$19, Price!$J:$L, MATCH(TRIM($H$18), Price!$J$1:$L$1, 0), FALSE),""))))</f>
        <v>5300</v>
      </c>
      <c r="T29" s="1">
        <f t="shared" si="11"/>
        <v>7400</v>
      </c>
      <c r="U29" s="1">
        <f t="shared" si="5"/>
        <v>0</v>
      </c>
      <c r="V29" s="1">
        <f t="shared" si="6"/>
        <v>12700</v>
      </c>
      <c r="W29" s="1">
        <v>5000</v>
      </c>
      <c r="X29" s="1">
        <f t="shared" si="7"/>
        <v>7700</v>
      </c>
      <c r="Y29" s="39" t="str">
        <f t="shared" si="8"/>
        <v>✅</v>
      </c>
      <c r="Z29" s="39">
        <v>5000</v>
      </c>
      <c r="AA29" s="39">
        <f t="shared" si="12"/>
        <v>0</v>
      </c>
    </row>
    <row r="30" spans="1:28" s="38" customFormat="1" x14ac:dyDescent="0.3">
      <c r="A30" s="39" t="str">
        <f>IF(F30="","",F30&amp;"-"&amp;E30&amp;"-"&amp;$O$16&amp;" "&amp;$K30)</f>
        <v>Hotel New Urvashi-Premium-Triple MAP</v>
      </c>
      <c r="B30" s="39" t="str">
        <f t="shared" si="1"/>
        <v>Hotel New Urvashi-No Extra Bed-Triple MAP</v>
      </c>
      <c r="D30" s="60" t="s">
        <v>105</v>
      </c>
      <c r="E30" s="15" t="s">
        <v>110</v>
      </c>
      <c r="F30" s="37" t="s">
        <v>1251</v>
      </c>
      <c r="G30" s="16">
        <f t="shared" si="9"/>
        <v>46188</v>
      </c>
      <c r="H30" s="16">
        <f t="shared" si="13"/>
        <v>46189</v>
      </c>
      <c r="I30" s="17">
        <v>1</v>
      </c>
      <c r="J30" s="17" t="str">
        <f t="shared" si="2"/>
        <v>Ertiga 7 Seater</v>
      </c>
      <c r="K30" s="17" t="s">
        <v>532</v>
      </c>
      <c r="L30" s="17">
        <f t="shared" si="10"/>
        <v>1</v>
      </c>
      <c r="M30" s="24">
        <f t="shared" si="3"/>
        <v>3</v>
      </c>
      <c r="N30" s="1">
        <f t="shared" si="4"/>
        <v>0</v>
      </c>
      <c r="O30" s="1" t="str">
        <f>IFERROR(IF(F30="","",IF($O$16="Double",VLOOKUP($A30,Price[],2,0),"")),0)</f>
        <v/>
      </c>
      <c r="P30" s="1">
        <f>IFERROR(IF(F30="","",IF($O$16="Triple",VLOOKUP($A30,Price[],2,0),"")),0)</f>
        <v>7000</v>
      </c>
      <c r="Q30" s="1" t="str">
        <f>IFERROR(IF(G30="","",IF($O$16="Quad",VLOOKUP($A30,Price[],2,0),"")),0)</f>
        <v/>
      </c>
      <c r="R30" s="1">
        <f>IFERROR(IF(F30="","",VLOOKUP($B30,Extra_fare_price[#All],2,0)),0)</f>
        <v>0</v>
      </c>
      <c r="S30" s="1">
        <f>IF(OR($O$19="",D30="",I30=""),"",I30 *IF(AND($E$18&lt;&gt;"",$H$18&lt;&gt;""),IF($E$18=$H$18,VLOOKUP($O$19, Price!$J:$L, MATCH(TRIM($E$18), Price!$J$1:$L$1, 0), FALSE),""),IF($E$18&lt;&gt;"",VLOOKUP($O$19, Price!$J:$L, MATCH(TRIM($E$18), Price!$J$1:$L$1, 0), FALSE),IF($H$18&lt;&gt;"",VLOOKUP($O$19, Price!$J:$L, MATCH(TRIM($H$18), Price!$J$1:$L$1, 0), FALSE),""))))</f>
        <v>5300</v>
      </c>
      <c r="T30" s="1">
        <f t="shared" si="11"/>
        <v>7000</v>
      </c>
      <c r="U30" s="1">
        <f t="shared" si="5"/>
        <v>0</v>
      </c>
      <c r="V30" s="1">
        <f t="shared" si="6"/>
        <v>12300</v>
      </c>
      <c r="W30" s="1">
        <v>6000</v>
      </c>
      <c r="X30" s="1">
        <f t="shared" si="7"/>
        <v>6300</v>
      </c>
      <c r="Y30" s="39" t="str">
        <f t="shared" si="8"/>
        <v>✅</v>
      </c>
      <c r="Z30" s="39">
        <v>6000</v>
      </c>
      <c r="AA30" s="39">
        <f t="shared" si="12"/>
        <v>0</v>
      </c>
    </row>
    <row r="31" spans="1:28" s="38" customFormat="1" ht="27.6" x14ac:dyDescent="0.3">
      <c r="A31" s="39" t="str">
        <f t="shared" si="0"/>
        <v>Hotel Mandakini Deluxe Rooms-Standard-Triple MAP</v>
      </c>
      <c r="B31" s="39" t="str">
        <f t="shared" si="1"/>
        <v>Hotel Mandakini Deluxe Rooms-No Extra Bed-Triple MAP</v>
      </c>
      <c r="D31" s="60" t="s">
        <v>179</v>
      </c>
      <c r="E31" s="15" t="s">
        <v>109</v>
      </c>
      <c r="F31" s="37" t="s">
        <v>1182</v>
      </c>
      <c r="G31" s="16">
        <f t="shared" si="9"/>
        <v>46189</v>
      </c>
      <c r="H31" s="16">
        <f t="shared" si="13"/>
        <v>46190</v>
      </c>
      <c r="I31" s="17">
        <v>1</v>
      </c>
      <c r="J31" s="17" t="str">
        <f t="shared" si="2"/>
        <v>Ertiga 7 Seater</v>
      </c>
      <c r="K31" s="17" t="s">
        <v>532</v>
      </c>
      <c r="L31" s="17">
        <f t="shared" si="10"/>
        <v>1</v>
      </c>
      <c r="M31" s="24">
        <f t="shared" si="3"/>
        <v>3</v>
      </c>
      <c r="N31" s="1">
        <f t="shared" si="4"/>
        <v>0</v>
      </c>
      <c r="O31" s="1" t="str">
        <f>IFERROR(IF(F31="","",IF($O$16="Double",VLOOKUP($A31,Price[],2,0),"")),0)</f>
        <v/>
      </c>
      <c r="P31" s="1">
        <f>IFERROR(IF(F31="","",IF($O$16="Triple",VLOOKUP($A31,Price[],2,0),"")),0)</f>
        <v>5050</v>
      </c>
      <c r="Q31" s="1" t="str">
        <f>IFERROR(IF(G31="","",IF($O$16="Quad",VLOOKUP($A31,Price[],2,0),"")),0)</f>
        <v/>
      </c>
      <c r="R31" s="1">
        <f>IFERROR(IF(F31="","",VLOOKUP($B31,Extra_fare_price[#All],2,0)),0)</f>
        <v>0</v>
      </c>
      <c r="S31" s="1">
        <f>IF(OR($O$19="",D31="",I31=""),"",I31 *IF(AND($E$18&lt;&gt;"",$H$18&lt;&gt;""),IF($E$18=$H$18,VLOOKUP($O$19, Price!$J:$L, MATCH(TRIM($E$18), Price!$J$1:$L$1, 0), FALSE),""),IF($E$18&lt;&gt;"",VLOOKUP($O$19, Price!$J:$L, MATCH(TRIM($E$18), Price!$J$1:$L$1, 0), FALSE),IF($H$18&lt;&gt;"",VLOOKUP($O$19, Price!$J:$L, MATCH(TRIM($H$18), Price!$J$1:$L$1, 0), FALSE),""))))</f>
        <v>5300</v>
      </c>
      <c r="T31" s="1">
        <f t="shared" si="11"/>
        <v>5050</v>
      </c>
      <c r="U31" s="1">
        <f t="shared" si="5"/>
        <v>0</v>
      </c>
      <c r="V31" s="1">
        <f t="shared" si="6"/>
        <v>10350</v>
      </c>
      <c r="W31" s="1">
        <v>5600</v>
      </c>
      <c r="X31" s="1">
        <f t="shared" si="7"/>
        <v>4750</v>
      </c>
      <c r="Y31" s="39" t="str">
        <f t="shared" si="8"/>
        <v>✅</v>
      </c>
      <c r="Z31" s="39">
        <v>5600</v>
      </c>
      <c r="AA31" s="39">
        <f t="shared" si="12"/>
        <v>0</v>
      </c>
    </row>
    <row r="32" spans="1:28" s="38" customFormat="1" x14ac:dyDescent="0.3">
      <c r="A32" s="39" t="str">
        <f t="shared" si="0"/>
        <v/>
      </c>
      <c r="B32" s="39" t="str">
        <f t="shared" si="1"/>
        <v/>
      </c>
      <c r="D32" s="60"/>
      <c r="E32" s="15"/>
      <c r="F32" s="37"/>
      <c r="G32" s="16" t="str">
        <f t="shared" si="9"/>
        <v/>
      </c>
      <c r="H32" s="16" t="str">
        <f t="shared" si="13"/>
        <v/>
      </c>
      <c r="I32" s="17"/>
      <c r="J32" s="17" t="str">
        <f t="shared" si="2"/>
        <v/>
      </c>
      <c r="K32" s="17"/>
      <c r="L32" s="17" t="str">
        <f t="shared" si="10"/>
        <v/>
      </c>
      <c r="M32" s="24" t="str">
        <f t="shared" si="3"/>
        <v/>
      </c>
      <c r="N32" s="1" t="str">
        <f t="shared" si="4"/>
        <v/>
      </c>
      <c r="O32" s="1" t="str">
        <f>IFERROR(IF(F32="","",IF($O$16="Double",VLOOKUP($A32,Price[],2,0),"")),0)</f>
        <v/>
      </c>
      <c r="P32" s="1" t="str">
        <f>IFERROR(IF(F32="","",IF($O$16="Triple",VLOOKUP($A32,Price[],2,0),"")),0)</f>
        <v/>
      </c>
      <c r="Q32" s="1" t="str">
        <f>IFERROR(IF(G32="","",IF($O$16="Quad",VLOOKUP($A32,Price[],2,0),"")),0)</f>
        <v/>
      </c>
      <c r="R32" s="1" t="str">
        <f>IFERROR(IF(F32="","",VLOOKUP($B32,Extra_fare_price[#All],2,0)),0)</f>
        <v/>
      </c>
      <c r="S32" s="1" t="str">
        <f>IF(OR($O$19="",D32="",I32=""),"",I32 *IF(AND($E$18&lt;&gt;"",$H$18&lt;&gt;""),IF($E$18=$H$18,VLOOKUP($O$19, Price!$J:$L, MATCH(TRIM($E$18), Price!$J$1:$L$1, 0), FALSE),""),IF($E$18&lt;&gt;"",VLOOKUP($O$19, Price!$J:$L, MATCH(TRIM($E$18), Price!$J$1:$L$1, 0), FALSE),IF($H$18&lt;&gt;"",VLOOKUP($O$19, Price!$J:$L, MATCH(TRIM($H$18), Price!$J$1:$L$1, 0), FALSE),""))))</f>
        <v/>
      </c>
      <c r="T32" s="1" t="str">
        <f t="shared" si="11"/>
        <v/>
      </c>
      <c r="U32" s="1" t="str">
        <f t="shared" si="5"/>
        <v/>
      </c>
      <c r="V32" s="1" t="str">
        <f t="shared" si="6"/>
        <v/>
      </c>
      <c r="W32" s="1">
        <v>8500</v>
      </c>
      <c r="X32" s="1" t="str">
        <f t="shared" si="7"/>
        <v/>
      </c>
      <c r="Y32" s="39" t="e">
        <f t="shared" si="8"/>
        <v>#VALUE!</v>
      </c>
      <c r="Z32" s="39">
        <v>8500</v>
      </c>
      <c r="AA32" s="39">
        <f t="shared" si="12"/>
        <v>0</v>
      </c>
    </row>
    <row r="33" spans="1:29" s="38" customFormat="1" x14ac:dyDescent="0.3">
      <c r="A33" s="39" t="str">
        <f>IF(F33="","",F33&amp;"-"&amp;E33&amp;"-"&amp;$O$16&amp;" "&amp;$K33)</f>
        <v/>
      </c>
      <c r="B33" s="39" t="str">
        <f t="shared" si="1"/>
        <v/>
      </c>
      <c r="D33" s="60"/>
      <c r="E33" s="15"/>
      <c r="F33" s="37"/>
      <c r="G33" s="16" t="str">
        <f t="shared" si="9"/>
        <v/>
      </c>
      <c r="H33" s="16" t="str">
        <f t="shared" si="13"/>
        <v/>
      </c>
      <c r="I33" s="17"/>
      <c r="J33" s="17" t="str">
        <f t="shared" si="2"/>
        <v/>
      </c>
      <c r="K33" s="17"/>
      <c r="L33" s="17" t="str">
        <f t="shared" si="10"/>
        <v/>
      </c>
      <c r="M33" s="24" t="str">
        <f t="shared" si="3"/>
        <v/>
      </c>
      <c r="N33" s="1" t="str">
        <f t="shared" si="4"/>
        <v/>
      </c>
      <c r="O33" s="1" t="str">
        <f>IFERROR(IF(F33="","",IF($O$16="Double",VLOOKUP($A33,Price[],2,0),"")),0)</f>
        <v/>
      </c>
      <c r="P33" s="1" t="str">
        <f>IFERROR(IF(F33="","",IF($O$16="Triple",VLOOKUP($A33,Price[],2,0),"")),0)</f>
        <v/>
      </c>
      <c r="Q33" s="1" t="str">
        <f>IFERROR(IF(G33="","",IF($O$16="Quad",VLOOKUP($A33,Price[],2,0),"")),0)</f>
        <v/>
      </c>
      <c r="R33" s="1" t="str">
        <f>IFERROR(IF(F33="","",VLOOKUP($B33,Extra_fare_price[#All],2,0)),0)</f>
        <v/>
      </c>
      <c r="S33" s="1" t="str">
        <f>IF(OR($O$19="",D33="",I33=""),"",I33 *IF(AND($E$18&lt;&gt;"",$H$18&lt;&gt;""),IF($E$18=$H$18,VLOOKUP($O$19, Price!$J:$L, MATCH(TRIM($E$18), Price!$J$1:$L$1, 0), FALSE),""),IF($E$18&lt;&gt;"",VLOOKUP($O$19, Price!$J:$L, MATCH(TRIM($E$18), Price!$J$1:$L$1, 0), FALSE),IF($H$18&lt;&gt;"",VLOOKUP($O$19, Price!$J:$L, MATCH(TRIM($H$18), Price!$J$1:$L$1, 0), FALSE),""))))</f>
        <v/>
      </c>
      <c r="T33" s="1" t="str">
        <f t="shared" si="11"/>
        <v/>
      </c>
      <c r="U33" s="1" t="str">
        <f t="shared" si="5"/>
        <v/>
      </c>
      <c r="V33" s="1" t="str">
        <f t="shared" si="6"/>
        <v/>
      </c>
      <c r="W33" s="1">
        <v>1001</v>
      </c>
      <c r="X33" s="1" t="str">
        <f t="shared" si="7"/>
        <v/>
      </c>
      <c r="Y33" s="39" t="e">
        <f t="shared" si="8"/>
        <v>#VALUE!</v>
      </c>
      <c r="Z33" s="39">
        <v>4800</v>
      </c>
      <c r="AA33" s="39">
        <f t="shared" si="12"/>
        <v>3799</v>
      </c>
    </row>
    <row r="34" spans="1:29" s="38" customFormat="1" x14ac:dyDescent="0.3">
      <c r="A34" s="39" t="str">
        <f>IF(F34="","",F34&amp;"-"&amp;E34&amp;"-"&amp;$O$16&amp;" "&amp;$K34)</f>
        <v/>
      </c>
      <c r="B34" s="39" t="str">
        <f t="shared" si="1"/>
        <v/>
      </c>
      <c r="D34" s="60"/>
      <c r="E34" s="15"/>
      <c r="F34" s="37"/>
      <c r="G34" s="16" t="str">
        <f t="shared" si="9"/>
        <v/>
      </c>
      <c r="H34" s="16" t="str">
        <f t="shared" si="13"/>
        <v/>
      </c>
      <c r="I34" s="17"/>
      <c r="J34" s="17" t="str">
        <f t="shared" si="2"/>
        <v/>
      </c>
      <c r="K34" s="17"/>
      <c r="L34" s="17" t="str">
        <f t="shared" si="10"/>
        <v/>
      </c>
      <c r="M34" s="24" t="str">
        <f t="shared" si="3"/>
        <v/>
      </c>
      <c r="N34" s="1" t="str">
        <f t="shared" si="4"/>
        <v/>
      </c>
      <c r="O34" s="1" t="str">
        <f>IFERROR(IF(F34="","",IF($O$16="Double",VLOOKUP($A34,Price[],2,0),"")),0)</f>
        <v/>
      </c>
      <c r="P34" s="1" t="str">
        <f>IFERROR(IF(F34="","",IF($O$16="Triple",VLOOKUP($A34,Price[],2,0),"")),0)</f>
        <v/>
      </c>
      <c r="Q34" s="1" t="str">
        <f>IFERROR(IF(G34="","",IF($O$16="Quad",VLOOKUP($A34,Price[],2,0),"")),0)</f>
        <v/>
      </c>
      <c r="R34" s="1" t="str">
        <f>IFERROR(IF(F34="","",VLOOKUP($B34,Extra_fare_price[#All],2,0)),0)</f>
        <v/>
      </c>
      <c r="S34" s="1" t="str">
        <f>IF(OR($O$19="",D34="",I34=""),"",I34 *IF(AND($E$18&lt;&gt;"",$H$18&lt;&gt;""),IF($E$18=$H$18,VLOOKUP($O$19, Price!$J:$L, MATCH(TRIM($E$18), Price!$J$1:$L$1, 0), FALSE),""),IF($E$18&lt;&gt;"",VLOOKUP($O$19, Price!$J:$L, MATCH(TRIM($E$18), Price!$J$1:$L$1, 0), FALSE),IF($H$18&lt;&gt;"",VLOOKUP($O$19, Price!$J:$L, MATCH(TRIM($H$18), Price!$J$1:$L$1, 0), FALSE),""))))</f>
        <v/>
      </c>
      <c r="T34" s="1" t="str">
        <f>IF(F34="","",SUM(O34:Q34)*I34*L34)</f>
        <v/>
      </c>
      <c r="U34" s="1" t="str">
        <f t="shared" si="5"/>
        <v/>
      </c>
      <c r="V34" s="1" t="str">
        <f t="shared" si="6"/>
        <v/>
      </c>
      <c r="W34" s="1">
        <v>2501</v>
      </c>
      <c r="X34" s="1" t="str">
        <f t="shared" si="7"/>
        <v/>
      </c>
      <c r="Y34" s="39" t="e">
        <f t="shared" si="8"/>
        <v>#VALUE!</v>
      </c>
      <c r="Z34" s="39">
        <v>22200</v>
      </c>
      <c r="AA34" s="39">
        <f t="shared" si="12"/>
        <v>19699</v>
      </c>
    </row>
    <row r="35" spans="1:29" s="38" customFormat="1" x14ac:dyDescent="0.3">
      <c r="A35" s="39" t="str">
        <f t="shared" si="0"/>
        <v/>
      </c>
      <c r="B35" s="39" t="str">
        <f t="shared" si="1"/>
        <v/>
      </c>
      <c r="D35" s="60"/>
      <c r="E35" s="15"/>
      <c r="F35" s="37"/>
      <c r="G35" s="16" t="str">
        <f t="shared" si="9"/>
        <v/>
      </c>
      <c r="H35" s="16" t="str">
        <f t="shared" si="13"/>
        <v/>
      </c>
      <c r="I35" s="17"/>
      <c r="J35" s="17" t="str">
        <f t="shared" si="2"/>
        <v/>
      </c>
      <c r="K35" s="17"/>
      <c r="L35" s="17" t="str">
        <f t="shared" si="10"/>
        <v/>
      </c>
      <c r="M35" s="24" t="str">
        <f t="shared" si="3"/>
        <v/>
      </c>
      <c r="N35" s="1" t="str">
        <f t="shared" si="4"/>
        <v/>
      </c>
      <c r="O35" s="1" t="str">
        <f>IFERROR(IF(F35="","",IF($O$16="Double",VLOOKUP($A35,Price[],2,0),"")),0)</f>
        <v/>
      </c>
      <c r="P35" s="1" t="str">
        <f>IFERROR(IF(F35="","",IF($O$16="Triple",VLOOKUP($A35,Price[],2,0),"")),0)</f>
        <v/>
      </c>
      <c r="Q35" s="1" t="str">
        <f>IFERROR(IF(G35="","",IF($O$16="Quad",VLOOKUP($A35,Price[],2,0),"")),0)</f>
        <v/>
      </c>
      <c r="R35" s="1" t="str">
        <f>IFERROR(IF(F35="","",VLOOKUP($B35,Extra_fare_price[#All],2,0)),0)</f>
        <v/>
      </c>
      <c r="S35" s="1" t="str">
        <f>IF(OR($O$19="",D35="",I35=""),"",I35 *IF(AND($E$18&lt;&gt;"",$H$18&lt;&gt;""),IF($E$18=$H$18,VLOOKUP($O$19, Price!$J:$L, MATCH(TRIM($E$18), Price!$J$1:$L$1, 0), FALSE),""),IF($E$18&lt;&gt;"",VLOOKUP($O$19, Price!$J:$L, MATCH(TRIM($E$18), Price!$J$1:$L$1, 0), FALSE),IF($H$18&lt;&gt;"",VLOOKUP($O$19, Price!$J:$L, MATCH(TRIM($H$18), Price!$J$1:$L$1, 0), FALSE),""))))</f>
        <v/>
      </c>
      <c r="T35" s="1" t="str">
        <f t="shared" si="11"/>
        <v/>
      </c>
      <c r="U35" s="1" t="str">
        <f t="shared" si="5"/>
        <v/>
      </c>
      <c r="V35" s="1" t="str">
        <f t="shared" si="6"/>
        <v/>
      </c>
      <c r="W35" s="1">
        <v>1501</v>
      </c>
      <c r="X35" s="1" t="str">
        <f t="shared" si="7"/>
        <v/>
      </c>
      <c r="Y35" s="39" t="e">
        <f t="shared" si="8"/>
        <v>#VALUE!</v>
      </c>
      <c r="Z35" s="39">
        <v>37000</v>
      </c>
      <c r="AA35" s="39">
        <f t="shared" si="12"/>
        <v>35499</v>
      </c>
    </row>
    <row r="36" spans="1:29" s="38" customFormat="1" x14ac:dyDescent="0.3">
      <c r="A36" s="39" t="str">
        <f t="shared" si="0"/>
        <v/>
      </c>
      <c r="B36" s="39" t="str">
        <f t="shared" si="1"/>
        <v/>
      </c>
      <c r="D36" s="60"/>
      <c r="E36" s="15"/>
      <c r="F36" s="37"/>
      <c r="G36" s="16" t="str">
        <f t="shared" si="9"/>
        <v/>
      </c>
      <c r="H36" s="16"/>
      <c r="I36" s="17"/>
      <c r="J36" s="17" t="str">
        <f t="shared" si="2"/>
        <v/>
      </c>
      <c r="K36" s="17"/>
      <c r="L36" s="17" t="str">
        <f t="shared" si="10"/>
        <v/>
      </c>
      <c r="M36" s="24" t="str">
        <f t="shared" si="3"/>
        <v/>
      </c>
      <c r="N36" s="1" t="str">
        <f t="shared" si="4"/>
        <v/>
      </c>
      <c r="O36" s="1" t="str">
        <f>IFERROR(IF(F36="","",IF($O$16="Double",VLOOKUP($A36,Price[],2,0),"")),0)</f>
        <v/>
      </c>
      <c r="P36" s="1" t="str">
        <f>IFERROR(IF(F36="","",IF($O$16="Triple",VLOOKUP($A36,Price[],2,0),"")),0)</f>
        <v/>
      </c>
      <c r="Q36" s="1" t="str">
        <f>IFERROR(IF(G36="","",IF($O$16="Quad",VLOOKUP($A36,Price[],2,0),"")),0)</f>
        <v/>
      </c>
      <c r="R36" s="1" t="str">
        <f>IFERROR(IF(F36="","",VLOOKUP($B36,Extra_fare_price[#All],2,0)),0)</f>
        <v/>
      </c>
      <c r="S36" s="1" t="str">
        <f>IF(OR($O$19="",D36="",I36=""),"",I36 *IF(AND($E$18&lt;&gt;"",$H$18&lt;&gt;""),IF($E$18=$H$18,VLOOKUP($O$19, Price!$J:$L, MATCH(TRIM($E$18), Price!$J$1:$L$1, 0), FALSE),""),IF($E$18&lt;&gt;"",VLOOKUP($O$19, Price!$J:$L, MATCH(TRIM($E$18), Price!$J$1:$L$1, 0), FALSE),IF($H$18&lt;&gt;"",VLOOKUP($O$19, Price!$J:$L, MATCH(TRIM($H$18), Price!$J$1:$L$1, 0), FALSE),""))))</f>
        <v/>
      </c>
      <c r="T36" s="1" t="str">
        <f t="shared" si="11"/>
        <v/>
      </c>
      <c r="U36" s="1"/>
      <c r="V36" s="1" t="str">
        <f t="shared" si="6"/>
        <v/>
      </c>
      <c r="W36" s="1"/>
      <c r="X36" s="1" t="str">
        <f t="shared" si="7"/>
        <v/>
      </c>
      <c r="Y36" s="39" t="e">
        <f t="shared" si="8"/>
        <v>#VALUE!</v>
      </c>
      <c r="Z36" s="39"/>
    </row>
    <row r="37" spans="1:29" s="38" customFormat="1" x14ac:dyDescent="0.3">
      <c r="D37" s="165" t="s">
        <v>72</v>
      </c>
      <c r="E37" s="166"/>
      <c r="F37" s="167"/>
      <c r="G37" s="62">
        <v>46184</v>
      </c>
      <c r="H37" s="62">
        <f>IF(AND(ISNUMBER(G37), ISNUMBER(I37)), G37 + I37, "")</f>
        <v>46190</v>
      </c>
      <c r="I37" s="27">
        <f>SUM(I26:I36)</f>
        <v>6</v>
      </c>
      <c r="J37" s="228"/>
      <c r="K37" s="228"/>
      <c r="L37" s="228"/>
      <c r="M37" s="228"/>
      <c r="N37" s="63"/>
      <c r="O37" s="28">
        <f>SUM(O26:O36)</f>
        <v>0</v>
      </c>
      <c r="P37" s="28">
        <f>SUM(P26:P36)</f>
        <v>35050</v>
      </c>
      <c r="Q37" s="28">
        <f>SUM(Q26:Q36)</f>
        <v>0</v>
      </c>
      <c r="R37" s="28">
        <f>SUM(R26:R36)</f>
        <v>0</v>
      </c>
      <c r="S37" s="28" cm="1">
        <f t="array" ref="S37">S26*VALUE(INDEX(_xlfn.TEXTSPLIT(H17, " "), 1))</f>
        <v>37100</v>
      </c>
      <c r="T37" s="28">
        <f>SUM(T26:T36)</f>
        <v>35050</v>
      </c>
      <c r="U37" s="28">
        <f>SUM(U26:U36)</f>
        <v>0</v>
      </c>
      <c r="V37" s="28">
        <f>SUM(S37:U37)</f>
        <v>72150</v>
      </c>
      <c r="W37" s="28">
        <f>SUM(W26:W36)</f>
        <v>52603</v>
      </c>
      <c r="X37" s="28">
        <f>SUM(X26:X36)</f>
        <v>27750</v>
      </c>
      <c r="Y37" s="39" t="str">
        <f t="shared" si="8"/>
        <v>✅</v>
      </c>
      <c r="Z37" s="39">
        <f>SUM(Z26:Z36)</f>
        <v>111600</v>
      </c>
      <c r="AA37" s="39">
        <f>SUM(AA26:AA36)</f>
        <v>58997</v>
      </c>
    </row>
    <row r="38" spans="1:29" x14ac:dyDescent="0.3">
      <c r="D38" s="236"/>
      <c r="E38" s="237"/>
      <c r="F38" s="237"/>
      <c r="G38" s="237"/>
      <c r="H38" s="237"/>
      <c r="I38" s="237"/>
      <c r="J38" s="237"/>
      <c r="K38" s="237"/>
      <c r="L38" s="237"/>
      <c r="M38" s="238"/>
      <c r="N38" s="68" t="s">
        <v>25</v>
      </c>
      <c r="O38" s="69" t="str">
        <f>IF(O37=0, "",O37/2)</f>
        <v/>
      </c>
      <c r="P38" s="81">
        <f>IF(P37=0, "",P37/3)</f>
        <v>11683.333333333334</v>
      </c>
      <c r="Q38" s="69" t="str">
        <f>IF(Q37=0, "",Q37/4)</f>
        <v/>
      </c>
      <c r="R38" s="136">
        <f>SUM(S37:U37)</f>
        <v>72150</v>
      </c>
      <c r="S38" s="137"/>
      <c r="T38" s="138"/>
      <c r="U38" s="1" t="str">
        <f>IF(V37 = (S37+T37 + U37), "✅", "❌")</f>
        <v>✅</v>
      </c>
      <c r="X38" s="39"/>
      <c r="Z38" s="64">
        <f>V41-Z37</f>
        <v>19400</v>
      </c>
    </row>
    <row r="39" spans="1:29" ht="22.8" x14ac:dyDescent="0.3">
      <c r="D39" s="158" t="s">
        <v>46</v>
      </c>
      <c r="E39" s="159"/>
      <c r="F39" s="159"/>
      <c r="G39" s="159"/>
      <c r="H39" s="159"/>
      <c r="I39" s="159"/>
      <c r="J39" s="159"/>
      <c r="K39" s="159"/>
      <c r="L39" s="159"/>
      <c r="M39" s="160"/>
      <c r="N39" s="29"/>
      <c r="O39" s="29"/>
      <c r="P39" s="29"/>
      <c r="Q39" s="30"/>
      <c r="R39" s="30"/>
      <c r="S39" s="29"/>
      <c r="T39" s="29"/>
      <c r="X39" s="39"/>
      <c r="AB39" t="e">
        <f>AB38-AB37-AB28-AB27-AB26</f>
        <v>#VALUE!</v>
      </c>
      <c r="AC39">
        <f>AC38-AC37-AC28-AC27-AC26</f>
        <v>0</v>
      </c>
    </row>
    <row r="40" spans="1:29" x14ac:dyDescent="0.3">
      <c r="D40" s="161" t="s">
        <v>47</v>
      </c>
      <c r="E40" s="161"/>
      <c r="F40" s="161" t="s">
        <v>48</v>
      </c>
      <c r="G40" s="161"/>
      <c r="H40" s="239" t="s">
        <v>49</v>
      </c>
      <c r="I40" s="239"/>
      <c r="J40" s="239"/>
      <c r="K40" s="163" t="s">
        <v>50</v>
      </c>
      <c r="L40" s="163"/>
      <c r="M40" s="163"/>
      <c r="N40" s="162" t="s">
        <v>25</v>
      </c>
      <c r="O40" s="163"/>
      <c r="P40" s="29"/>
      <c r="Q40" s="29"/>
      <c r="R40" s="29"/>
      <c r="S40" s="29"/>
      <c r="T40" s="29"/>
      <c r="X40" s="39"/>
    </row>
    <row r="41" spans="1:29" x14ac:dyDescent="0.3">
      <c r="D41" s="154" t="s">
        <v>51</v>
      </c>
      <c r="E41" s="154"/>
      <c r="F41" s="155">
        <f>K16-K17</f>
        <v>3</v>
      </c>
      <c r="G41" s="155"/>
      <c r="H41" s="148">
        <f>(K41/F41)/$I$37</f>
        <v>4048.4166666666665</v>
      </c>
      <c r="I41" s="148"/>
      <c r="J41" s="148"/>
      <c r="K41" s="164">
        <f>(N41*$O$21)+N41</f>
        <v>72871.5</v>
      </c>
      <c r="L41" s="164"/>
      <c r="M41" s="164"/>
      <c r="N41" s="156">
        <f>(S37/$F$43)*F41+T37</f>
        <v>72150</v>
      </c>
      <c r="O41" s="157"/>
      <c r="P41" s="29"/>
      <c r="Q41" s="29"/>
      <c r="R41" s="29"/>
      <c r="S41" s="29"/>
      <c r="T41" s="29"/>
      <c r="V41">
        <v>131000</v>
      </c>
      <c r="W41">
        <v>20001</v>
      </c>
      <c r="X41" s="39">
        <f>V41-W41</f>
        <v>110999</v>
      </c>
    </row>
    <row r="42" spans="1:29" ht="26.25" customHeight="1" x14ac:dyDescent="0.3">
      <c r="D42" s="154" t="s">
        <v>84</v>
      </c>
      <c r="E42" s="154"/>
      <c r="F42" s="155">
        <f>$K$17</f>
        <v>0</v>
      </c>
      <c r="G42" s="155"/>
      <c r="H42" s="148">
        <f>IF(F42=0, 0, K42/F42/$I$37)</f>
        <v>0</v>
      </c>
      <c r="I42" s="148"/>
      <c r="J42" s="148"/>
      <c r="K42" s="164">
        <f>(N42*$O$21)+N42</f>
        <v>0</v>
      </c>
      <c r="L42" s="164"/>
      <c r="M42" s="164"/>
      <c r="N42" s="156">
        <f>(S37/$F$43)*F42+U37</f>
        <v>0</v>
      </c>
      <c r="O42" s="157"/>
      <c r="P42" s="29"/>
      <c r="Q42" s="29"/>
      <c r="R42" s="29"/>
      <c r="S42" s="29"/>
      <c r="T42" s="29"/>
      <c r="X42" s="39"/>
    </row>
    <row r="43" spans="1:29" x14ac:dyDescent="0.3">
      <c r="D43" s="149" t="s">
        <v>70</v>
      </c>
      <c r="E43" s="149"/>
      <c r="F43" s="150">
        <f>SUM(F41:F42)</f>
        <v>3</v>
      </c>
      <c r="G43" s="151"/>
      <c r="H43" s="153">
        <f>K43/(F43*$I$37)</f>
        <v>4048.4166666666665</v>
      </c>
      <c r="I43" s="153"/>
      <c r="J43" s="153"/>
      <c r="K43" s="153">
        <f>K41+K42</f>
        <v>72871.5</v>
      </c>
      <c r="L43" s="153"/>
      <c r="M43" s="153"/>
      <c r="N43" s="152">
        <f>N41+N42</f>
        <v>72150</v>
      </c>
      <c r="O43" s="153"/>
      <c r="P43" s="31"/>
      <c r="Q43" s="29"/>
      <c r="R43" s="29"/>
      <c r="S43" s="29"/>
      <c r="T43" s="29"/>
      <c r="X43" s="39"/>
    </row>
    <row r="44" spans="1:29" x14ac:dyDescent="0.3">
      <c r="D44" s="213" t="s">
        <v>71</v>
      </c>
      <c r="E44" s="213"/>
      <c r="F44" s="213"/>
      <c r="G44" s="213"/>
      <c r="H44" s="214">
        <f>K43/F43</f>
        <v>24290.5</v>
      </c>
      <c r="I44" s="214"/>
      <c r="J44" s="214"/>
      <c r="K44" s="214"/>
      <c r="L44" s="214"/>
      <c r="M44" s="214"/>
      <c r="N44" s="215">
        <f>K43-N43</f>
        <v>721.5</v>
      </c>
      <c r="O44" s="215"/>
      <c r="P44" s="29"/>
      <c r="Q44" s="29"/>
      <c r="R44" s="29"/>
      <c r="S44" s="29"/>
      <c r="T44" s="29"/>
      <c r="X44" s="39"/>
    </row>
    <row r="45" spans="1:29" ht="22.8" x14ac:dyDescent="0.3">
      <c r="D45" s="125" t="s">
        <v>1266</v>
      </c>
      <c r="E45" s="126"/>
      <c r="F45" s="126"/>
      <c r="G45" s="126"/>
      <c r="H45" s="126"/>
      <c r="I45" s="126"/>
      <c r="J45" s="126"/>
      <c r="K45" s="126"/>
      <c r="L45" s="126"/>
      <c r="M45" s="127"/>
      <c r="N45" s="29"/>
      <c r="O45" s="29"/>
      <c r="P45" s="29"/>
      <c r="Q45" s="29"/>
      <c r="R45" s="29"/>
      <c r="S45" s="29"/>
      <c r="T45" s="29"/>
      <c r="X45" s="39"/>
    </row>
    <row r="46" spans="1:29" x14ac:dyDescent="0.3">
      <c r="D46" s="128" t="s">
        <v>52</v>
      </c>
      <c r="E46" s="129"/>
      <c r="F46" s="129"/>
      <c r="G46" s="129"/>
      <c r="H46" s="128" t="s">
        <v>53</v>
      </c>
      <c r="I46" s="129"/>
      <c r="J46" s="129"/>
      <c r="K46" s="129"/>
      <c r="L46" s="129"/>
      <c r="M46" s="130"/>
      <c r="N46" s="29"/>
      <c r="O46" s="29"/>
      <c r="P46" s="29"/>
      <c r="Q46" s="29"/>
      <c r="R46" s="29"/>
      <c r="S46" s="29"/>
      <c r="T46" s="29"/>
      <c r="X46" s="39"/>
    </row>
    <row r="47" spans="1:29" x14ac:dyDescent="0.3">
      <c r="D47" s="131" t="str">
        <f>IF(I37&lt;&gt;"","1. " &amp; TEXT(I37,"00") &amp; " nights’ stay at the hotels specified in the itinerary.","")</f>
        <v>1. 06 nights’ stay at the hotels specified in the itinerary.</v>
      </c>
      <c r="E47" s="132"/>
      <c r="F47" s="132"/>
      <c r="G47" s="132"/>
      <c r="H47" s="133" t="s">
        <v>54</v>
      </c>
      <c r="I47" s="134"/>
      <c r="J47" s="134"/>
      <c r="K47" s="134"/>
      <c r="L47" s="134"/>
      <c r="M47" s="135"/>
      <c r="X47" s="39"/>
    </row>
    <row r="48" spans="1:29" x14ac:dyDescent="0.3">
      <c r="D48" s="123" t="str">
        <f>IF(COUNTA(K26:K36)=0, "",
"2. Meals included: "
&amp; TEXT((COUNTIF(K26:K36,"CP")+COUNTIF(K26:K36,"MAP")+COUNTIF(K26:K36,"AP"))*I26,"00") &amp; " breakfast"
&amp; IF(COUNTIF(K26:K36,"AP")&gt;0, ", " &amp; TEXT(COUNTIF(K26:K36,"AP")*I26, "00") &amp; " lunch", "")
&amp; IF((COUNTIF(K26:K36,"MAP")+COUNTIF(K26:K36,"AP"))&gt;0, " and " &amp; TEXT((COUNTIF(K26:K36,"MAP")+COUNTIF(K26:K36,"AP"))*I26,"00") &amp; " dinner", "")
&amp; IF(COUNTIF(K26:K36,"EP")=COUNTA(K26:K36), "No meals", "")
&amp; ", as per the selected meal plan.")</f>
        <v>2. Meals included: 05 breakfast and 05 dinner, as per the selected meal plan.</v>
      </c>
      <c r="E48" s="124"/>
      <c r="F48" s="124"/>
      <c r="G48" s="124"/>
      <c r="H48" s="85" t="s">
        <v>55</v>
      </c>
      <c r="I48" s="86"/>
      <c r="J48" s="86"/>
      <c r="K48" s="86"/>
      <c r="L48" s="86"/>
      <c r="M48" s="87"/>
      <c r="X48" s="39"/>
    </row>
    <row r="49" spans="4:24" x14ac:dyDescent="0.3">
      <c r="D49" s="115" t="str" cm="1">
        <f t="array" ref="D49">_xlfn.LET(_xlpm.list, _xlfn._xlws.FILTER(Q16:Q22,(Q16:Q22&lt;&gt;"")*(Q16:Q22&lt;&gt;"NA"),""),_xlpm.n,SUMPRODUCT(--(_xlpm.list&lt;&gt;"")),_xlpm.veh, O19,IF(OR(_xlpm.veh="",_xlpm.veh="NA"),"","3. All transfers and sightseeing as per the itinerary" &amp;
     IF(_xlpm.n=0,"",
        " (" &amp;
        IF(_xlpm.n=1,
           INDEX(_xlpm.list,1),_xlfn.TEXTJOIN(", ",TRUE,INDEX(_xlpm.list,_xlfn.SEQUENCE(_xlpm.n-1))) &amp; " and " &amp; INDEX(_xlpm.list,_xlpm.n)
        ) &amp; ")"
     ) &amp;
     " by " &amp; _xlpm.veh &amp; ". Air-conditioned vehicle provided in non-hill areas only."
  )
)</f>
        <v>3. All transfers and sightseeing as per the itinerary by Ertiga 7 Seater. Air-conditioned vehicle provided in non-hill areas only.</v>
      </c>
      <c r="E49" s="116"/>
      <c r="F49" s="116"/>
      <c r="G49" s="116"/>
      <c r="H49" s="85" t="s">
        <v>56</v>
      </c>
      <c r="I49" s="86"/>
      <c r="J49" s="86"/>
      <c r="K49" s="86"/>
      <c r="L49" s="86"/>
      <c r="M49" s="87"/>
      <c r="X49" s="39"/>
    </row>
    <row r="50" spans="4:24" x14ac:dyDescent="0.3">
      <c r="D50" s="115" t="str" cm="1">
        <f t="array" ref="D50">_xlfn.LET(
    _xlpm.activity, Q16,
    _xlpm.desc, IF(OR(_xlpm.activity="", _xlpm.activity="NA"), "", _xlfn.XLOOKUP(TRIM(_xlpm.activity), TRIM(#REF!),#REF!, "")),
    IF(_xlpm.desc="", "", "4. " &amp; _xlpm.desc)
)</f>
        <v/>
      </c>
      <c r="E50" s="116"/>
      <c r="F50" s="116"/>
      <c r="G50" s="116"/>
      <c r="H50" s="85" t="s">
        <v>57</v>
      </c>
      <c r="I50" s="86"/>
      <c r="J50" s="86"/>
      <c r="K50" s="86"/>
      <c r="L50" s="86"/>
      <c r="M50" s="87"/>
      <c r="X50" s="39"/>
    </row>
    <row r="51" spans="4:24" x14ac:dyDescent="0.3">
      <c r="D51" s="115" t="str" cm="1">
        <f t="array" ref="D51">_xlfn.LET(
    _xlpm.activity, Q17,
    _xlpm.desc, IF(OR(_xlpm.activity="", _xlpm.activity="NA"), "", _xlfn.XLOOKUP(TRIM(_xlpm.activity), TRIM(#REF!),#REF!, "")),
    IF(_xlpm.desc="", "", "5. " &amp; _xlpm.desc)
)</f>
        <v/>
      </c>
      <c r="E51" s="116"/>
      <c r="F51" s="116"/>
      <c r="G51" s="116"/>
      <c r="H51" s="85" t="s">
        <v>58</v>
      </c>
      <c r="I51" s="86"/>
      <c r="J51" s="86"/>
      <c r="K51" s="86"/>
      <c r="L51" s="86"/>
      <c r="M51" s="87"/>
      <c r="X51" s="39"/>
    </row>
    <row r="52" spans="4:24" x14ac:dyDescent="0.3">
      <c r="D52" s="115" t="str" cm="1">
        <f t="array" ref="D52">_xlfn.LET(
    _xlpm.activity, Q18,
    _xlpm.desc, IF(OR(_xlpm.activity="", _xlpm.activity="NA"), "", _xlfn.XLOOKUP(TRIM(_xlpm.activity), TRIM(#REF!),#REF!, "")),
    IF(_xlpm.desc="", "", "5. " &amp; _xlpm.desc)
)</f>
        <v/>
      </c>
      <c r="E52" s="116"/>
      <c r="F52" s="116"/>
      <c r="G52" s="116"/>
      <c r="H52" s="85" t="s">
        <v>59</v>
      </c>
      <c r="I52" s="86"/>
      <c r="J52" s="86"/>
      <c r="K52" s="86"/>
      <c r="L52" s="86"/>
      <c r="M52" s="87"/>
      <c r="X52" s="39"/>
    </row>
    <row r="53" spans="4:24" x14ac:dyDescent="0.3">
      <c r="D53" s="115" t="str" cm="1">
        <f t="array" ref="D53">_xlfn.LET(
    _xlpm.activity, Q19,
    _xlpm.desc, IF(OR(_xlpm.activity="", _xlpm.activity="NA"), "", _xlfn.XLOOKUP(TRIM(_xlpm.activity), TRIM(#REF!),#REF!, "")),
    IF(_xlpm.desc="", "", "5. " &amp; _xlpm.desc)
)</f>
        <v/>
      </c>
      <c r="E53" s="116"/>
      <c r="F53" s="116"/>
      <c r="G53" s="116"/>
      <c r="H53" s="120"/>
      <c r="I53" s="121"/>
      <c r="J53" s="121"/>
      <c r="K53" s="121"/>
      <c r="L53" s="121"/>
      <c r="M53" s="122"/>
      <c r="X53" s="39"/>
    </row>
    <row r="54" spans="4:24" x14ac:dyDescent="0.3">
      <c r="D54" s="115" t="str" cm="1">
        <f t="array" ref="D54">_xlfn.LET(
    _xlpm.activity, Q20,
    _xlpm.desc, IF(OR(_xlpm.activity="", _xlpm.activity="NA"), "", _xlfn.XLOOKUP(TRIM(_xlpm.activity), TRIM(#REF!),#REF!, "")),
    IF(_xlpm.desc="", "", "5. " &amp; _xlpm.desc)
)</f>
        <v/>
      </c>
      <c r="E54" s="116"/>
      <c r="F54" s="116"/>
      <c r="G54" s="116"/>
      <c r="H54" s="46"/>
      <c r="I54" s="49"/>
      <c r="J54" s="49"/>
      <c r="K54" s="49"/>
      <c r="L54" s="49"/>
      <c r="M54" s="47"/>
      <c r="X54" s="39"/>
    </row>
    <row r="55" spans="4:24" x14ac:dyDescent="0.3">
      <c r="D55" s="115" t="str" cm="1">
        <f t="array" ref="D55">_xlfn.LET(
    _xlpm.activity, Q21,
    _xlpm.desc, IF(OR(_xlpm.activity="", _xlpm.activity="NA"), "", _xlfn.XLOOKUP(TRIM(_xlpm.activity), TRIM(#REF!),#REF!, "")),
    IF(_xlpm.desc="", "", "5. " &amp; _xlpm.desc)
)</f>
        <v/>
      </c>
      <c r="E55" s="116"/>
      <c r="F55" s="116"/>
      <c r="G55" s="116"/>
      <c r="H55" s="46"/>
      <c r="I55" s="49"/>
      <c r="J55" s="49"/>
      <c r="K55" s="49"/>
      <c r="L55" s="49"/>
      <c r="M55" s="47"/>
      <c r="X55" s="39"/>
    </row>
    <row r="56" spans="4:24" x14ac:dyDescent="0.3">
      <c r="D56" s="115" t="str" cm="1">
        <f t="array" ref="D56">_xlfn.LET(
    _xlpm.activity, Q22,
    _xlpm.desc, IF(OR(_xlpm.activity="", _xlpm.activity="NA"), "", _xlfn.XLOOKUP(TRIM(_xlpm.activity), TRIM(#REF!),#REF!, "")),
    IF(_xlpm.desc="", "", "5. " &amp; _xlpm.desc)
)</f>
        <v/>
      </c>
      <c r="E56" s="116"/>
      <c r="F56" s="116"/>
      <c r="G56" s="116"/>
      <c r="H56" s="50"/>
      <c r="I56" s="51"/>
      <c r="J56" s="51"/>
      <c r="K56" s="51"/>
      <c r="L56" s="51"/>
      <c r="M56" s="52"/>
      <c r="X56" s="39"/>
    </row>
    <row r="57" spans="4:24" x14ac:dyDescent="0.3">
      <c r="D57" s="117" t="s">
        <v>82</v>
      </c>
      <c r="E57" s="118"/>
      <c r="F57" s="118"/>
      <c r="G57" s="118"/>
      <c r="H57" s="118"/>
      <c r="I57" s="118"/>
      <c r="J57" s="118"/>
      <c r="K57" s="118"/>
      <c r="L57" s="118"/>
      <c r="M57" s="119"/>
      <c r="X57" s="39"/>
    </row>
    <row r="58" spans="4:24" ht="20.399999999999999" x14ac:dyDescent="0.3">
      <c r="D58" s="112" t="s">
        <v>75</v>
      </c>
      <c r="E58" s="113"/>
      <c r="F58" s="113"/>
      <c r="G58" s="113"/>
      <c r="H58" s="113"/>
      <c r="I58" s="113"/>
      <c r="J58" s="113"/>
      <c r="K58" s="113"/>
      <c r="L58" s="113"/>
      <c r="M58" s="114"/>
      <c r="X58" s="39"/>
    </row>
    <row r="59" spans="4:24" x14ac:dyDescent="0.3">
      <c r="D59" s="106"/>
      <c r="E59" s="107"/>
      <c r="F59" s="107"/>
      <c r="G59" s="107"/>
      <c r="H59" s="107"/>
      <c r="I59" s="107"/>
      <c r="J59" s="107"/>
      <c r="K59" s="107"/>
      <c r="L59" s="107"/>
      <c r="M59" s="108"/>
    </row>
    <row r="60" spans="4:24" x14ac:dyDescent="0.3">
      <c r="D60" s="59" t="s">
        <v>89</v>
      </c>
      <c r="E60" s="83" t="s">
        <v>99</v>
      </c>
      <c r="F60" s="83"/>
      <c r="G60" s="83"/>
      <c r="H60" s="83"/>
      <c r="I60" s="83"/>
      <c r="J60" s="83"/>
      <c r="K60" s="83"/>
      <c r="L60" s="83"/>
      <c r="M60" s="84"/>
    </row>
    <row r="61" spans="4:24" x14ac:dyDescent="0.3">
      <c r="D61" s="100"/>
      <c r="E61" s="101"/>
      <c r="F61" s="101"/>
      <c r="G61" s="101"/>
      <c r="H61" s="101"/>
      <c r="I61" s="101"/>
      <c r="J61" s="101"/>
      <c r="K61" s="101"/>
      <c r="L61" s="101"/>
      <c r="M61" s="102"/>
    </row>
    <row r="62" spans="4:24" x14ac:dyDescent="0.3">
      <c r="D62" s="100" t="e">
        <f>_xlfn.XLOOKUP(E$60,'Day Wise Exursion'!$B:$B,'Day Wise Exursion'!$C:$C)</f>
        <v>#N/A</v>
      </c>
      <c r="E62" s="101"/>
      <c r="F62" s="101"/>
      <c r="G62" s="101"/>
      <c r="H62" s="101"/>
      <c r="I62" s="101"/>
      <c r="J62" s="101"/>
      <c r="K62" s="101"/>
      <c r="L62" s="101"/>
      <c r="M62" s="102"/>
    </row>
    <row r="63" spans="4:24" x14ac:dyDescent="0.3">
      <c r="D63" s="109"/>
      <c r="E63" s="110"/>
      <c r="F63" s="110"/>
      <c r="G63" s="110"/>
      <c r="H63" s="110"/>
      <c r="I63" s="110"/>
      <c r="J63" s="110"/>
      <c r="K63" s="110"/>
      <c r="L63" s="110"/>
      <c r="M63" s="111"/>
    </row>
    <row r="64" spans="4:24" x14ac:dyDescent="0.3">
      <c r="D64" s="59" t="s">
        <v>90</v>
      </c>
      <c r="E64" s="83" t="s">
        <v>100</v>
      </c>
      <c r="F64" s="83"/>
      <c r="G64" s="83"/>
      <c r="H64" s="83"/>
      <c r="I64" s="83"/>
      <c r="J64" s="83"/>
      <c r="K64" s="83"/>
      <c r="L64" s="83"/>
      <c r="M64" s="84"/>
    </row>
    <row r="65" spans="4:13" x14ac:dyDescent="0.3">
      <c r="D65" s="109"/>
      <c r="E65" s="110"/>
      <c r="F65" s="110"/>
      <c r="G65" s="110"/>
      <c r="H65" s="110"/>
      <c r="I65" s="110"/>
      <c r="J65" s="110"/>
      <c r="K65" s="110"/>
      <c r="L65" s="110"/>
      <c r="M65" s="111"/>
    </row>
    <row r="66" spans="4:13" x14ac:dyDescent="0.3">
      <c r="D66" s="100" t="e">
        <f>_xlfn.XLOOKUP(E$64,'Day Wise Exursion'!$B:$B,'Day Wise Exursion'!$C:$C)</f>
        <v>#N/A</v>
      </c>
      <c r="E66" s="101"/>
      <c r="F66" s="101"/>
      <c r="G66" s="101"/>
      <c r="H66" s="101"/>
      <c r="I66" s="101"/>
      <c r="J66" s="101"/>
      <c r="K66" s="101"/>
      <c r="L66" s="101"/>
      <c r="M66" s="102"/>
    </row>
    <row r="67" spans="4:13" x14ac:dyDescent="0.3">
      <c r="D67" s="109"/>
      <c r="E67" s="110"/>
      <c r="F67" s="110"/>
      <c r="G67" s="110"/>
      <c r="H67" s="110"/>
      <c r="I67" s="110"/>
      <c r="J67" s="110"/>
      <c r="K67" s="110"/>
      <c r="L67" s="110"/>
      <c r="M67" s="111"/>
    </row>
    <row r="68" spans="4:13" x14ac:dyDescent="0.3">
      <c r="D68" s="59" t="s">
        <v>91</v>
      </c>
      <c r="E68" s="83" t="s">
        <v>101</v>
      </c>
      <c r="F68" s="83"/>
      <c r="G68" s="83"/>
      <c r="H68" s="83"/>
      <c r="I68" s="83"/>
      <c r="J68" s="83"/>
      <c r="K68" s="83"/>
      <c r="L68" s="83"/>
      <c r="M68" s="84"/>
    </row>
    <row r="69" spans="4:13" x14ac:dyDescent="0.3">
      <c r="D69" s="94"/>
      <c r="E69" s="95"/>
      <c r="F69" s="95"/>
      <c r="G69" s="95"/>
      <c r="H69" s="95"/>
      <c r="I69" s="95"/>
      <c r="J69" s="95"/>
      <c r="K69" s="95"/>
      <c r="L69" s="95"/>
      <c r="M69" s="96"/>
    </row>
    <row r="70" spans="4:13" x14ac:dyDescent="0.3">
      <c r="D70" s="100" t="e">
        <f>_xlfn.XLOOKUP(E$68,'Day Wise Exursion'!$B:$B,'Day Wise Exursion'!$C:$C)</f>
        <v>#N/A</v>
      </c>
      <c r="E70" s="101"/>
      <c r="F70" s="101"/>
      <c r="G70" s="101"/>
      <c r="H70" s="101"/>
      <c r="I70" s="101"/>
      <c r="J70" s="101"/>
      <c r="K70" s="101"/>
      <c r="L70" s="101"/>
      <c r="M70" s="102"/>
    </row>
    <row r="71" spans="4:13" x14ac:dyDescent="0.3">
      <c r="D71" s="106"/>
      <c r="E71" s="107"/>
      <c r="F71" s="107"/>
      <c r="G71" s="107"/>
      <c r="H71" s="107"/>
      <c r="I71" s="107"/>
      <c r="J71" s="107"/>
      <c r="K71" s="107"/>
      <c r="L71" s="107"/>
      <c r="M71" s="108"/>
    </row>
    <row r="72" spans="4:13" x14ac:dyDescent="0.3">
      <c r="D72" s="59" t="s">
        <v>92</v>
      </c>
      <c r="E72" s="83" t="s">
        <v>100</v>
      </c>
      <c r="F72" s="83"/>
      <c r="G72" s="83"/>
      <c r="H72" s="83"/>
      <c r="I72" s="83"/>
      <c r="J72" s="83"/>
      <c r="K72" s="83"/>
      <c r="L72" s="83"/>
      <c r="M72" s="84"/>
    </row>
    <row r="73" spans="4:13" x14ac:dyDescent="0.3">
      <c r="D73" s="94"/>
      <c r="E73" s="95"/>
      <c r="F73" s="95"/>
      <c r="G73" s="95"/>
      <c r="H73" s="95"/>
      <c r="I73" s="95"/>
      <c r="J73" s="95"/>
      <c r="K73" s="95"/>
      <c r="L73" s="95"/>
      <c r="M73" s="96"/>
    </row>
    <row r="74" spans="4:13" x14ac:dyDescent="0.3">
      <c r="D74" s="100" t="e">
        <f>_xlfn.XLOOKUP(E$72,'Day Wise Exursion'!$B:$B,'Day Wise Exursion'!$C:$C)</f>
        <v>#N/A</v>
      </c>
      <c r="E74" s="101"/>
      <c r="F74" s="101"/>
      <c r="G74" s="101"/>
      <c r="H74" s="101"/>
      <c r="I74" s="101"/>
      <c r="J74" s="101"/>
      <c r="K74" s="101"/>
      <c r="L74" s="101"/>
      <c r="M74" s="102"/>
    </row>
    <row r="75" spans="4:13" x14ac:dyDescent="0.3">
      <c r="D75" s="106"/>
      <c r="E75" s="107"/>
      <c r="F75" s="107"/>
      <c r="G75" s="107"/>
      <c r="H75" s="107"/>
      <c r="I75" s="107"/>
      <c r="J75" s="107"/>
      <c r="K75" s="107"/>
      <c r="L75" s="107"/>
      <c r="M75" s="108"/>
    </row>
    <row r="76" spans="4:13" x14ac:dyDescent="0.3">
      <c r="D76" s="59" t="s">
        <v>93</v>
      </c>
      <c r="E76" s="83"/>
      <c r="F76" s="83"/>
      <c r="G76" s="83"/>
      <c r="H76" s="83"/>
      <c r="I76" s="83"/>
      <c r="J76" s="83"/>
      <c r="K76" s="83"/>
      <c r="L76" s="83"/>
      <c r="M76" s="84"/>
    </row>
    <row r="77" spans="4:13" x14ac:dyDescent="0.3">
      <c r="D77" s="94"/>
      <c r="E77" s="95"/>
      <c r="F77" s="95"/>
      <c r="G77" s="95"/>
      <c r="H77" s="95"/>
      <c r="I77" s="95"/>
      <c r="J77" s="95"/>
      <c r="K77" s="95"/>
      <c r="L77" s="95"/>
      <c r="M77" s="96"/>
    </row>
    <row r="78" spans="4:13" x14ac:dyDescent="0.3">
      <c r="D78" s="100">
        <f>_xlfn.XLOOKUP(E$76,'Day Wise Exursion'!$B:$B,'Day Wise Exursion'!$C:$C)</f>
        <v>0</v>
      </c>
      <c r="E78" s="101"/>
      <c r="F78" s="101"/>
      <c r="G78" s="101"/>
      <c r="H78" s="101"/>
      <c r="I78" s="101"/>
      <c r="J78" s="101"/>
      <c r="K78" s="101"/>
      <c r="L78" s="101"/>
      <c r="M78" s="102"/>
    </row>
    <row r="79" spans="4:13" x14ac:dyDescent="0.3">
      <c r="D79" s="94"/>
      <c r="E79" s="95"/>
      <c r="F79" s="95"/>
      <c r="G79" s="95"/>
      <c r="H79" s="95"/>
      <c r="I79" s="95"/>
      <c r="J79" s="95"/>
      <c r="K79" s="95"/>
      <c r="L79" s="95"/>
      <c r="M79" s="96"/>
    </row>
    <row r="80" spans="4:13" x14ac:dyDescent="0.3">
      <c r="D80" s="59" t="s">
        <v>94</v>
      </c>
      <c r="E80" s="83"/>
      <c r="F80" s="83"/>
      <c r="G80" s="83"/>
      <c r="H80" s="83"/>
      <c r="I80" s="83"/>
      <c r="J80" s="83"/>
      <c r="K80" s="83"/>
      <c r="L80" s="83"/>
      <c r="M80" s="84"/>
    </row>
    <row r="81" spans="4:13" x14ac:dyDescent="0.3">
      <c r="D81" s="103"/>
      <c r="E81" s="104"/>
      <c r="F81" s="104"/>
      <c r="G81" s="104"/>
      <c r="H81" s="104"/>
      <c r="I81" s="104"/>
      <c r="J81" s="104"/>
      <c r="K81" s="104"/>
      <c r="L81" s="104"/>
      <c r="M81" s="105"/>
    </row>
    <row r="82" spans="4:13" x14ac:dyDescent="0.3">
      <c r="D82" s="100">
        <f>_xlfn.XLOOKUP(E$80,'Day Wise Exursion'!$B:$B,'Day Wise Exursion'!$C:$C)</f>
        <v>0</v>
      </c>
      <c r="E82" s="101"/>
      <c r="F82" s="101"/>
      <c r="G82" s="101"/>
      <c r="H82" s="101"/>
      <c r="I82" s="101"/>
      <c r="J82" s="101"/>
      <c r="K82" s="101"/>
      <c r="L82" s="101"/>
      <c r="M82" s="102"/>
    </row>
    <row r="83" spans="4:13" x14ac:dyDescent="0.3">
      <c r="D83" s="100"/>
      <c r="E83" s="101"/>
      <c r="F83" s="101"/>
      <c r="G83" s="101"/>
      <c r="H83" s="101"/>
      <c r="I83" s="101"/>
      <c r="J83" s="101"/>
      <c r="K83" s="101"/>
      <c r="L83" s="101"/>
      <c r="M83" s="102"/>
    </row>
    <row r="84" spans="4:13" x14ac:dyDescent="0.3">
      <c r="D84" s="59" t="s">
        <v>95</v>
      </c>
      <c r="E84" s="83"/>
      <c r="F84" s="83"/>
      <c r="G84" s="83"/>
      <c r="H84" s="83"/>
      <c r="I84" s="83"/>
      <c r="J84" s="83"/>
      <c r="K84" s="83"/>
      <c r="L84" s="83"/>
      <c r="M84" s="84"/>
    </row>
    <row r="85" spans="4:13" x14ac:dyDescent="0.3">
      <c r="D85" s="100"/>
      <c r="E85" s="101"/>
      <c r="F85" s="101"/>
      <c r="G85" s="101"/>
      <c r="H85" s="101"/>
      <c r="I85" s="101"/>
      <c r="J85" s="101"/>
      <c r="K85" s="101"/>
      <c r="L85" s="101"/>
      <c r="M85" s="102"/>
    </row>
    <row r="86" spans="4:13" x14ac:dyDescent="0.3">
      <c r="D86" s="100">
        <f>_xlfn.XLOOKUP(E$84,'Day Wise Exursion'!$B:$B,'Day Wise Exursion'!$C:$C)</f>
        <v>0</v>
      </c>
      <c r="E86" s="101"/>
      <c r="F86" s="101"/>
      <c r="G86" s="101"/>
      <c r="H86" s="101"/>
      <c r="I86" s="101"/>
      <c r="J86" s="101"/>
      <c r="K86" s="101"/>
      <c r="L86" s="101"/>
      <c r="M86" s="102"/>
    </row>
    <row r="87" spans="4:13" x14ac:dyDescent="0.3">
      <c r="D87" s="100"/>
      <c r="E87" s="101"/>
      <c r="F87" s="101"/>
      <c r="G87" s="101"/>
      <c r="H87" s="101"/>
      <c r="I87" s="101"/>
      <c r="J87" s="101"/>
      <c r="K87" s="101"/>
      <c r="L87" s="101"/>
      <c r="M87" s="102"/>
    </row>
    <row r="88" spans="4:13" x14ac:dyDescent="0.3">
      <c r="D88" s="59" t="s">
        <v>96</v>
      </c>
      <c r="E88" s="83"/>
      <c r="F88" s="83"/>
      <c r="G88" s="83"/>
      <c r="H88" s="83"/>
      <c r="I88" s="83"/>
      <c r="J88" s="83"/>
      <c r="K88" s="83"/>
      <c r="L88" s="83"/>
      <c r="M88" s="84"/>
    </row>
    <row r="89" spans="4:13" x14ac:dyDescent="0.3">
      <c r="D89" s="100"/>
      <c r="E89" s="101"/>
      <c r="F89" s="101"/>
      <c r="G89" s="101"/>
      <c r="H89" s="101"/>
      <c r="I89" s="101"/>
      <c r="J89" s="101"/>
      <c r="K89" s="101"/>
      <c r="L89" s="101"/>
      <c r="M89" s="102"/>
    </row>
    <row r="90" spans="4:13" x14ac:dyDescent="0.3">
      <c r="D90" s="100">
        <f>_xlfn.XLOOKUP(E$88,'Day Wise Exursion'!$B:$B,'Day Wise Exursion'!$C:$C)</f>
        <v>0</v>
      </c>
      <c r="E90" s="101"/>
      <c r="F90" s="101"/>
      <c r="G90" s="101"/>
      <c r="H90" s="101"/>
      <c r="I90" s="101"/>
      <c r="J90" s="101"/>
      <c r="K90" s="101"/>
      <c r="L90" s="101"/>
      <c r="M90" s="102"/>
    </row>
    <row r="91" spans="4:13" x14ac:dyDescent="0.3">
      <c r="D91" s="100"/>
      <c r="E91" s="101"/>
      <c r="F91" s="101"/>
      <c r="G91" s="101"/>
      <c r="H91" s="101"/>
      <c r="I91" s="101"/>
      <c r="J91" s="101"/>
      <c r="K91" s="101"/>
      <c r="L91" s="101"/>
      <c r="M91" s="102"/>
    </row>
    <row r="92" spans="4:13" x14ac:dyDescent="0.3">
      <c r="D92" s="59" t="s">
        <v>97</v>
      </c>
      <c r="E92" s="83"/>
      <c r="F92" s="83"/>
      <c r="G92" s="83"/>
      <c r="H92" s="83"/>
      <c r="I92" s="83"/>
      <c r="J92" s="83"/>
      <c r="K92" s="83"/>
      <c r="L92" s="83"/>
      <c r="M92" s="84"/>
    </row>
    <row r="93" spans="4:13" x14ac:dyDescent="0.3">
      <c r="D93" s="100"/>
      <c r="E93" s="101"/>
      <c r="F93" s="101"/>
      <c r="G93" s="101"/>
      <c r="H93" s="101"/>
      <c r="I93" s="101"/>
      <c r="J93" s="101"/>
      <c r="K93" s="101"/>
      <c r="L93" s="101"/>
      <c r="M93" s="102"/>
    </row>
    <row r="94" spans="4:13" x14ac:dyDescent="0.3">
      <c r="D94" s="100">
        <f>_xlfn.XLOOKUP(E$92,'Day Wise Exursion'!$B:$B,'Day Wise Exursion'!$C:$C)</f>
        <v>0</v>
      </c>
      <c r="E94" s="101"/>
      <c r="F94" s="101"/>
      <c r="G94" s="101"/>
      <c r="H94" s="101"/>
      <c r="I94" s="101"/>
      <c r="J94" s="101"/>
      <c r="K94" s="101"/>
      <c r="L94" s="101"/>
      <c r="M94" s="102"/>
    </row>
    <row r="95" spans="4:13" x14ac:dyDescent="0.3">
      <c r="D95" s="100"/>
      <c r="E95" s="101"/>
      <c r="F95" s="101"/>
      <c r="G95" s="101"/>
      <c r="H95" s="101"/>
      <c r="I95" s="101"/>
      <c r="J95" s="101"/>
      <c r="K95" s="101"/>
      <c r="L95" s="101"/>
      <c r="M95" s="102"/>
    </row>
    <row r="96" spans="4:13" x14ac:dyDescent="0.3">
      <c r="D96" s="59" t="s">
        <v>98</v>
      </c>
      <c r="E96" s="83"/>
      <c r="F96" s="83"/>
      <c r="G96" s="83"/>
      <c r="H96" s="83"/>
      <c r="I96" s="83"/>
      <c r="J96" s="83"/>
      <c r="K96" s="83"/>
      <c r="L96" s="83"/>
      <c r="M96" s="84"/>
    </row>
    <row r="97" spans="4:13" x14ac:dyDescent="0.3">
      <c r="D97" s="100"/>
      <c r="E97" s="101"/>
      <c r="F97" s="101"/>
      <c r="G97" s="101"/>
      <c r="H97" s="101"/>
      <c r="I97" s="101"/>
      <c r="J97" s="101"/>
      <c r="K97" s="101"/>
      <c r="L97" s="101"/>
      <c r="M97" s="102"/>
    </row>
    <row r="98" spans="4:13" x14ac:dyDescent="0.3">
      <c r="D98" s="100">
        <f>_xlfn.XLOOKUP(E$96,'Day Wise Exursion'!$B:$B,'Day Wise Exursion'!$C:$C)</f>
        <v>0</v>
      </c>
      <c r="E98" s="101"/>
      <c r="F98" s="101"/>
      <c r="G98" s="101"/>
      <c r="H98" s="101"/>
      <c r="I98" s="101"/>
      <c r="J98" s="101"/>
      <c r="K98" s="101"/>
      <c r="L98" s="101"/>
      <c r="M98" s="102"/>
    </row>
    <row r="99" spans="4:13" x14ac:dyDescent="0.3">
      <c r="D99" s="94"/>
      <c r="E99" s="95"/>
      <c r="F99" s="95"/>
      <c r="G99" s="95"/>
      <c r="H99" s="95"/>
      <c r="I99" s="95"/>
      <c r="J99" s="95"/>
      <c r="K99" s="95"/>
      <c r="L99" s="95"/>
      <c r="M99" s="96"/>
    </row>
    <row r="100" spans="4:13" ht="22.8" x14ac:dyDescent="0.3">
      <c r="D100" s="91" t="s">
        <v>60</v>
      </c>
      <c r="E100" s="92"/>
      <c r="F100" s="92"/>
      <c r="G100" s="92"/>
      <c r="H100" s="92"/>
      <c r="I100" s="92"/>
      <c r="J100" s="92"/>
      <c r="K100" s="92"/>
      <c r="L100" s="92"/>
      <c r="M100" s="93"/>
    </row>
    <row r="101" spans="4:13" x14ac:dyDescent="0.3">
      <c r="D101" s="94"/>
      <c r="E101" s="95"/>
      <c r="F101" s="95"/>
      <c r="G101" s="95"/>
      <c r="H101" s="95"/>
      <c r="I101" s="95"/>
      <c r="J101" s="95"/>
      <c r="K101" s="95"/>
      <c r="L101" s="95"/>
      <c r="M101" s="96"/>
    </row>
    <row r="102" spans="4:13" x14ac:dyDescent="0.3">
      <c r="D102" s="85" t="s">
        <v>61</v>
      </c>
      <c r="E102" s="86"/>
      <c r="F102" s="86"/>
      <c r="G102" s="86"/>
      <c r="H102" s="86"/>
      <c r="I102" s="86"/>
      <c r="J102" s="86"/>
      <c r="K102" s="86"/>
      <c r="L102" s="86"/>
      <c r="M102" s="87"/>
    </row>
    <row r="103" spans="4:13" x14ac:dyDescent="0.3">
      <c r="D103" s="85"/>
      <c r="E103" s="86"/>
      <c r="F103" s="86"/>
      <c r="G103" s="86"/>
      <c r="H103" s="86"/>
      <c r="I103" s="86"/>
      <c r="J103" s="86"/>
      <c r="K103" s="86"/>
      <c r="L103" s="86"/>
      <c r="M103" s="87"/>
    </row>
    <row r="104" spans="4:13" x14ac:dyDescent="0.3">
      <c r="D104" s="85" t="s">
        <v>62</v>
      </c>
      <c r="E104" s="86"/>
      <c r="F104" s="86"/>
      <c r="G104" s="86"/>
      <c r="H104" s="86"/>
      <c r="I104" s="86"/>
      <c r="J104" s="86"/>
      <c r="K104" s="86"/>
      <c r="L104" s="86"/>
      <c r="M104" s="87"/>
    </row>
    <row r="105" spans="4:13" x14ac:dyDescent="0.3">
      <c r="D105" s="85"/>
      <c r="E105" s="86"/>
      <c r="F105" s="86"/>
      <c r="G105" s="86"/>
      <c r="H105" s="86"/>
      <c r="I105" s="86"/>
      <c r="J105" s="86"/>
      <c r="K105" s="86"/>
      <c r="L105" s="86"/>
      <c r="M105" s="87"/>
    </row>
    <row r="106" spans="4:13" x14ac:dyDescent="0.3">
      <c r="D106" s="85" t="s">
        <v>63</v>
      </c>
      <c r="E106" s="86"/>
      <c r="F106" s="86"/>
      <c r="G106" s="86"/>
      <c r="H106" s="86"/>
      <c r="I106" s="86"/>
      <c r="J106" s="86"/>
      <c r="K106" s="86"/>
      <c r="L106" s="86"/>
      <c r="M106" s="87"/>
    </row>
    <row r="107" spans="4:13" x14ac:dyDescent="0.3">
      <c r="D107" s="85"/>
      <c r="E107" s="86"/>
      <c r="F107" s="86"/>
      <c r="G107" s="86"/>
      <c r="H107" s="86"/>
      <c r="I107" s="86"/>
      <c r="J107" s="86"/>
      <c r="K107" s="86"/>
      <c r="L107" s="86"/>
      <c r="M107" s="87"/>
    </row>
    <row r="108" spans="4:13" x14ac:dyDescent="0.3">
      <c r="D108" s="85" t="s">
        <v>64</v>
      </c>
      <c r="E108" s="86"/>
      <c r="F108" s="86"/>
      <c r="G108" s="86"/>
      <c r="H108" s="86"/>
      <c r="I108" s="86"/>
      <c r="J108" s="86"/>
      <c r="K108" s="86"/>
      <c r="L108" s="86"/>
      <c r="M108" s="87"/>
    </row>
    <row r="109" spans="4:13" x14ac:dyDescent="0.3">
      <c r="D109" s="88"/>
      <c r="E109" s="89"/>
      <c r="F109" s="89"/>
      <c r="G109" s="89"/>
      <c r="H109" s="89"/>
      <c r="I109" s="89"/>
      <c r="J109" s="89"/>
      <c r="K109" s="89"/>
      <c r="L109" s="89"/>
      <c r="M109" s="90"/>
    </row>
    <row r="110" spans="4:13" ht="22.8" x14ac:dyDescent="0.3">
      <c r="D110" s="91" t="s">
        <v>65</v>
      </c>
      <c r="E110" s="92"/>
      <c r="F110" s="92"/>
      <c r="G110" s="92"/>
      <c r="H110" s="92"/>
      <c r="I110" s="92"/>
      <c r="J110" s="92"/>
      <c r="K110" s="92"/>
      <c r="L110" s="92"/>
      <c r="M110" s="93"/>
    </row>
    <row r="111" spans="4:13" x14ac:dyDescent="0.3">
      <c r="D111" s="94"/>
      <c r="E111" s="95"/>
      <c r="F111" s="95"/>
      <c r="G111" s="95"/>
      <c r="H111" s="95"/>
      <c r="I111" s="95"/>
      <c r="J111" s="95"/>
      <c r="K111" s="95"/>
      <c r="L111" s="95"/>
      <c r="M111" s="96"/>
    </row>
    <row r="112" spans="4:13" x14ac:dyDescent="0.3">
      <c r="D112" s="97"/>
      <c r="E112" s="98"/>
      <c r="F112" s="98"/>
      <c r="G112" s="98"/>
      <c r="H112" s="98"/>
      <c r="I112" s="98"/>
      <c r="J112" s="98"/>
      <c r="K112" s="98"/>
      <c r="L112" s="98"/>
      <c r="M112" s="99"/>
    </row>
  </sheetData>
  <mergeCells count="135">
    <mergeCell ref="D44:G44"/>
    <mergeCell ref="H44:M44"/>
    <mergeCell ref="N44:O44"/>
    <mergeCell ref="D17:E17"/>
    <mergeCell ref="F17:G17"/>
    <mergeCell ref="H17:I17"/>
    <mergeCell ref="K17:M17"/>
    <mergeCell ref="D20:M22"/>
    <mergeCell ref="J37:M37"/>
    <mergeCell ref="F18:G18"/>
    <mergeCell ref="H18:I18"/>
    <mergeCell ref="K18:M18"/>
    <mergeCell ref="D19:E19"/>
    <mergeCell ref="F19:I19"/>
    <mergeCell ref="K19:M19"/>
    <mergeCell ref="D23:M23"/>
    <mergeCell ref="D41:E41"/>
    <mergeCell ref="F41:G41"/>
    <mergeCell ref="D38:M38"/>
    <mergeCell ref="K40:M40"/>
    <mergeCell ref="H40:J40"/>
    <mergeCell ref="K41:M41"/>
    <mergeCell ref="D9:M9"/>
    <mergeCell ref="D2:G5"/>
    <mergeCell ref="H2:M5"/>
    <mergeCell ref="D6:M6"/>
    <mergeCell ref="D7:M7"/>
    <mergeCell ref="D8:M8"/>
    <mergeCell ref="D15:M15"/>
    <mergeCell ref="D16:E16"/>
    <mergeCell ref="K16:M16"/>
    <mergeCell ref="D10:M10"/>
    <mergeCell ref="D11:M11"/>
    <mergeCell ref="D12:M12"/>
    <mergeCell ref="D13:M13"/>
    <mergeCell ref="D14:M14"/>
    <mergeCell ref="F16:G16"/>
    <mergeCell ref="H16:J16"/>
    <mergeCell ref="R38:T38"/>
    <mergeCell ref="D24:M24"/>
    <mergeCell ref="T24:V24"/>
    <mergeCell ref="O24:S24"/>
    <mergeCell ref="H41:J41"/>
    <mergeCell ref="D43:E43"/>
    <mergeCell ref="F43:G43"/>
    <mergeCell ref="N43:O43"/>
    <mergeCell ref="D42:E42"/>
    <mergeCell ref="F42:G42"/>
    <mergeCell ref="N42:O42"/>
    <mergeCell ref="N41:O41"/>
    <mergeCell ref="D39:M39"/>
    <mergeCell ref="D40:E40"/>
    <mergeCell ref="F40:G40"/>
    <mergeCell ref="N40:O40"/>
    <mergeCell ref="K42:M42"/>
    <mergeCell ref="H42:J42"/>
    <mergeCell ref="K43:M43"/>
    <mergeCell ref="H43:J43"/>
    <mergeCell ref="D37:F37"/>
    <mergeCell ref="D48:G48"/>
    <mergeCell ref="H48:M48"/>
    <mergeCell ref="D49:G49"/>
    <mergeCell ref="H49:M49"/>
    <mergeCell ref="D50:G50"/>
    <mergeCell ref="H50:M50"/>
    <mergeCell ref="D45:M45"/>
    <mergeCell ref="D46:G46"/>
    <mergeCell ref="H46:M46"/>
    <mergeCell ref="D47:G47"/>
    <mergeCell ref="H47:M47"/>
    <mergeCell ref="D51:G51"/>
    <mergeCell ref="H51:M51"/>
    <mergeCell ref="D56:G56"/>
    <mergeCell ref="H52:M52"/>
    <mergeCell ref="D57:M57"/>
    <mergeCell ref="D52:G52"/>
    <mergeCell ref="D53:G53"/>
    <mergeCell ref="D54:G54"/>
    <mergeCell ref="D55:G55"/>
    <mergeCell ref="H53:M53"/>
    <mergeCell ref="D63:M63"/>
    <mergeCell ref="D65:M65"/>
    <mergeCell ref="D66:M66"/>
    <mergeCell ref="D67:M67"/>
    <mergeCell ref="D58:M58"/>
    <mergeCell ref="D59:M59"/>
    <mergeCell ref="D61:M61"/>
    <mergeCell ref="D62:M62"/>
    <mergeCell ref="E60:M60"/>
    <mergeCell ref="E64:M64"/>
    <mergeCell ref="D73:M73"/>
    <mergeCell ref="D74:M74"/>
    <mergeCell ref="D75:M75"/>
    <mergeCell ref="D77:M77"/>
    <mergeCell ref="D69:M69"/>
    <mergeCell ref="D70:M70"/>
    <mergeCell ref="D71:M71"/>
    <mergeCell ref="E68:M68"/>
    <mergeCell ref="E72:M72"/>
    <mergeCell ref="E76:M76"/>
    <mergeCell ref="D91:M91"/>
    <mergeCell ref="D83:M83"/>
    <mergeCell ref="D85:M85"/>
    <mergeCell ref="D86:M86"/>
    <mergeCell ref="D87:M87"/>
    <mergeCell ref="D78:M78"/>
    <mergeCell ref="D79:M79"/>
    <mergeCell ref="D81:M81"/>
    <mergeCell ref="D82:M82"/>
    <mergeCell ref="D89:M89"/>
    <mergeCell ref="D90:M90"/>
    <mergeCell ref="E80:M80"/>
    <mergeCell ref="E84:M84"/>
    <mergeCell ref="E88:M88"/>
    <mergeCell ref="E92:M92"/>
    <mergeCell ref="D108:M108"/>
    <mergeCell ref="D109:M109"/>
    <mergeCell ref="D110:M110"/>
    <mergeCell ref="D111:M111"/>
    <mergeCell ref="D112:M112"/>
    <mergeCell ref="D103:M103"/>
    <mergeCell ref="D104:M104"/>
    <mergeCell ref="D105:M105"/>
    <mergeCell ref="D106:M106"/>
    <mergeCell ref="D107:M107"/>
    <mergeCell ref="D98:M98"/>
    <mergeCell ref="D99:M99"/>
    <mergeCell ref="D100:M100"/>
    <mergeCell ref="D101:M101"/>
    <mergeCell ref="D102:M102"/>
    <mergeCell ref="D93:M93"/>
    <mergeCell ref="D94:M94"/>
    <mergeCell ref="D95:M95"/>
    <mergeCell ref="D97:M97"/>
    <mergeCell ref="E96:M96"/>
  </mergeCells>
  <phoneticPr fontId="2" type="noConversion"/>
  <dataValidations count="6">
    <dataValidation type="list" allowBlank="1" showInputMessage="1" showErrorMessage="1" sqref="O16" xr:uid="{1E729713-3CF7-4B48-9712-E2F356637219}">
      <formula1>" Double, Triple, Quad"</formula1>
    </dataValidation>
    <dataValidation type="list" allowBlank="1" showInputMessage="1" showErrorMessage="1" sqref="D26:D36" xr:uid="{C663D4C5-1C8F-492D-9E8B-7CCE19656124}">
      <formula1>City</formula1>
    </dataValidation>
    <dataValidation type="list" allowBlank="1" showInputMessage="1" showErrorMessage="1" sqref="I26:I36" xr:uid="{D5BDDA4E-8514-43A8-B716-2B9F16F49446}">
      <formula1>"0,1,2,3,4,5,6"</formula1>
    </dataValidation>
    <dataValidation type="list" allowBlank="1" showInputMessage="1" showErrorMessage="1" sqref="O21" xr:uid="{EB804344-E19D-4905-A466-3EFEECD8BC31}">
      <formula1>"1%,2%,3%,4%,5%,6%,7%,8%,9%,10%,11%,12%,13%,14%,15%,16%,17%,18%,19%,20%,21%,22%,23%,24%,25%,26%,27%,28%,29%,30%,31%,32%,33%,34%,35%,36%,37%,38%,39%,40%,1.5%"</formula1>
    </dataValidation>
    <dataValidation type="list" allowBlank="1" showInputMessage="1" showErrorMessage="1" sqref="K26:K36" xr:uid="{92E2D61C-F9C4-436C-8AC5-04447F6FA548}">
      <formula1>"MAP, CP, AP,EP"</formula1>
    </dataValidation>
    <dataValidation type="list" allowBlank="1" showInputMessage="1" showErrorMessage="1" sqref="E18 H18:I18" xr:uid="{01C4F29B-F5AF-4879-96E4-8806ED7FEFBE}">
      <formula1>"Haridwar, Delhi"</formula1>
    </dataValidation>
  </dataValidations>
  <hyperlinks>
    <hyperlink ref="D1" r:id="rId1" xr:uid="{195CCA78-8DEE-457A-B3C7-42D8BD2338C5}"/>
  </hyperlinks>
  <pageMargins left="0.7" right="0.7" top="0.75" bottom="0.75" header="0.3" footer="0.3"/>
  <pageSetup paperSize="9" fitToWidth="0" fitToHeight="0" orientation="portrait" r:id="rId2"/>
  <ignoredErrors>
    <ignoredError sqref="V37 S37" formula="1"/>
  </ignoredErrors>
  <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6A82A57-E937-4CB1-8A90-2837516742A3}">
          <x14:formula1>
            <xm:f>Price!$J$2:$J$12</xm:f>
          </x14:formula1>
          <xm:sqref>O19</xm:sqref>
        </x14:dataValidation>
        <x14:dataValidation type="list" allowBlank="1" showInputMessage="1" showErrorMessage="1" xr:uid="{74383C93-EEFF-407F-A815-4D0D6EC90859}">
          <x14:formula1>
            <xm:f>Price!$G$2:$G$5</xm:f>
          </x14:formula1>
          <xm:sqref>O17</xm:sqref>
        </x14:dataValidation>
        <x14:dataValidation type="list" allowBlank="1" showInputMessage="1" showErrorMessage="1" xr:uid="{82D69E04-97EB-4CA6-BE81-E7BF438C0377}">
          <x14:formula1>
            <xm:f>'Day Wise Exursion'!$B:$B</xm:f>
          </x14:formula1>
          <xm:sqref>E88 E84 E60 E64 E68 E92 E72 E76 E80 E96</xm:sqref>
        </x14:dataValidation>
        <x14:dataValidation type="list" allowBlank="1" showInputMessage="1" showErrorMessage="1" xr:uid="{05E0BEC5-BD01-4312-9BBF-9BE0DE01E127}">
          <x14:formula1>
            <xm:f>_xlfn.XLOOKUP($D26&amp;$E26,Sheet2!$J$32:$BZ$32,Sheet2!$J$33:$BZ$101)</xm:f>
          </x14:formula1>
          <xm:sqref>F26:F36</xm:sqref>
        </x14:dataValidation>
        <x14:dataValidation type="list" allowBlank="1" showInputMessage="1" showErrorMessage="1" xr:uid="{5DEE4971-8335-4034-914F-29E65AB33EF1}">
          <x14:formula1>
            <xm:f>_xlfn.XLOOKUP($D26,Sheet2!$J$21:$Z$21,Sheet2!$J$22:$Z$25)</xm:f>
          </x14:formula1>
          <xm:sqref>E26:E36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2246-C4FF-42BA-BA7D-E72C2862243A}">
  <sheetPr codeName="Sheet2"/>
  <dimension ref="B2:R518"/>
  <sheetViews>
    <sheetView showGridLines="0" tabSelected="1" zoomScaleNormal="100" workbookViewId="0">
      <selection activeCell="D3" sqref="D3:D119"/>
    </sheetView>
  </sheetViews>
  <sheetFormatPr defaultRowHeight="14.4" x14ac:dyDescent="0.3"/>
  <cols>
    <col min="1" max="1" width="1.6640625" customWidth="1"/>
    <col min="2" max="2" width="14.33203125" bestFit="1" customWidth="1"/>
    <col min="3" max="3" width="22.5546875" customWidth="1"/>
    <col min="4" max="4" width="13.33203125" bestFit="1" customWidth="1"/>
    <col min="5" max="5" width="31" style="56" customWidth="1"/>
    <col min="6" max="6" width="11" style="39" bestFit="1" customWidth="1"/>
    <col min="7" max="7" width="10.33203125" bestFit="1" customWidth="1"/>
    <col min="8" max="8" width="10.5546875" bestFit="1" customWidth="1"/>
    <col min="9" max="9" width="11.88671875" bestFit="1" customWidth="1"/>
    <col min="10" max="10" width="10.33203125" bestFit="1" customWidth="1"/>
    <col min="11" max="12" width="9.109375" bestFit="1" customWidth="1"/>
    <col min="13" max="13" width="10.44140625" bestFit="1" customWidth="1"/>
    <col min="14" max="14" width="8.88671875" bestFit="1" customWidth="1"/>
    <col min="15" max="15" width="11.44140625" bestFit="1" customWidth="1"/>
    <col min="16" max="16" width="20.5546875" bestFit="1" customWidth="1"/>
    <col min="17" max="17" width="10.33203125" bestFit="1" customWidth="1"/>
  </cols>
  <sheetData>
    <row r="2" spans="2:18" x14ac:dyDescent="0.3">
      <c r="B2" s="4" t="s">
        <v>0</v>
      </c>
      <c r="C2" s="4" t="s">
        <v>116</v>
      </c>
      <c r="D2" s="5" t="s">
        <v>1</v>
      </c>
      <c r="E2" s="73" t="s">
        <v>2</v>
      </c>
      <c r="F2" s="5" t="s">
        <v>3</v>
      </c>
      <c r="G2" s="5" t="s">
        <v>34</v>
      </c>
      <c r="H2" s="5" t="s">
        <v>35</v>
      </c>
      <c r="I2" s="5" t="s">
        <v>36</v>
      </c>
      <c r="J2" s="6" t="s">
        <v>31</v>
      </c>
      <c r="K2" s="5" t="s">
        <v>32</v>
      </c>
      <c r="L2" s="5" t="s">
        <v>33</v>
      </c>
      <c r="M2" s="5" t="s">
        <v>118</v>
      </c>
      <c r="N2" s="5" t="s">
        <v>119</v>
      </c>
      <c r="O2" s="5" t="s">
        <v>120</v>
      </c>
    </row>
    <row r="3" spans="2:18" x14ac:dyDescent="0.3">
      <c r="B3" s="2" t="s">
        <v>106</v>
      </c>
      <c r="C3" s="2" t="str">
        <f t="shared" ref="C3:C58" si="0">B3&amp;F3</f>
        <v>Janki ChattiBudget</v>
      </c>
      <c r="D3" s="1"/>
      <c r="E3" s="43" t="s">
        <v>108</v>
      </c>
      <c r="F3" s="43" t="str">
        <f t="shared" ref="F3:F58" si="1">IF(I3&lt;=2500,"Budget",IF(I3&lt;=4000,"Standard","Premium"))</f>
        <v>Budget</v>
      </c>
      <c r="G3" s="1">
        <v>2000</v>
      </c>
      <c r="H3" s="1"/>
      <c r="I3" s="1">
        <v>2500</v>
      </c>
      <c r="J3" s="3">
        <v>2500</v>
      </c>
      <c r="K3" s="19"/>
      <c r="L3" s="19">
        <v>3500</v>
      </c>
      <c r="M3" s="19">
        <v>3500</v>
      </c>
      <c r="N3" s="19"/>
      <c r="O3" s="19">
        <v>5000</v>
      </c>
      <c r="Q3" s="66" t="s">
        <v>121</v>
      </c>
      <c r="R3" s="66" t="s">
        <v>122</v>
      </c>
    </row>
    <row r="4" spans="2:18" x14ac:dyDescent="0.3">
      <c r="B4" s="2" t="s">
        <v>106</v>
      </c>
      <c r="C4" s="2" t="str">
        <f t="shared" si="0"/>
        <v>Janki ChattiBudget</v>
      </c>
      <c r="D4" s="1"/>
      <c r="E4" s="43" t="s">
        <v>125</v>
      </c>
      <c r="F4" s="43" t="str">
        <f t="shared" si="1"/>
        <v>Budget</v>
      </c>
      <c r="G4" s="1"/>
      <c r="H4" s="1"/>
      <c r="I4" s="1"/>
      <c r="J4" s="3"/>
      <c r="K4" s="1"/>
      <c r="L4" s="1"/>
      <c r="M4" s="1"/>
      <c r="N4" s="1"/>
      <c r="O4" s="1"/>
      <c r="Q4" s="65" t="s">
        <v>123</v>
      </c>
      <c r="R4" s="65" t="s">
        <v>111</v>
      </c>
    </row>
    <row r="5" spans="2:18" x14ac:dyDescent="0.3">
      <c r="B5" s="2" t="s">
        <v>106</v>
      </c>
      <c r="C5" s="2" t="str">
        <f t="shared" si="0"/>
        <v>Janki ChattiBudget</v>
      </c>
      <c r="D5" s="1"/>
      <c r="E5" s="43" t="s">
        <v>126</v>
      </c>
      <c r="F5" s="43" t="str">
        <f t="shared" si="1"/>
        <v>Budget</v>
      </c>
      <c r="G5" s="1"/>
      <c r="H5" s="1"/>
      <c r="I5" s="1"/>
      <c r="J5" s="3"/>
      <c r="K5" s="1"/>
      <c r="L5" s="1"/>
      <c r="M5" s="1"/>
      <c r="N5" s="1"/>
      <c r="O5" s="1"/>
      <c r="Q5" s="65" t="s">
        <v>124</v>
      </c>
      <c r="R5" s="65" t="s">
        <v>109</v>
      </c>
    </row>
    <row r="6" spans="2:18" x14ac:dyDescent="0.3">
      <c r="B6" s="2" t="s">
        <v>106</v>
      </c>
      <c r="C6" s="2" t="str">
        <f t="shared" si="0"/>
        <v>Janki ChattiStandard</v>
      </c>
      <c r="D6" s="1"/>
      <c r="E6" s="43" t="s">
        <v>127</v>
      </c>
      <c r="F6" s="43" t="str">
        <f t="shared" si="1"/>
        <v>Standard</v>
      </c>
      <c r="G6" s="1">
        <v>2500</v>
      </c>
      <c r="H6" s="1">
        <v>2700</v>
      </c>
      <c r="I6" s="1">
        <v>3200</v>
      </c>
      <c r="J6" s="3">
        <v>3200</v>
      </c>
      <c r="K6" s="1">
        <v>3400</v>
      </c>
      <c r="L6" s="1">
        <v>3900</v>
      </c>
      <c r="M6" s="1">
        <v>4100</v>
      </c>
      <c r="N6" s="1">
        <v>4300</v>
      </c>
      <c r="O6" s="1">
        <v>4800</v>
      </c>
      <c r="Q6" s="65">
        <v>4000</v>
      </c>
      <c r="R6" s="65" t="s">
        <v>110</v>
      </c>
    </row>
    <row r="7" spans="2:18" ht="28.8" x14ac:dyDescent="0.3">
      <c r="B7" s="2" t="s">
        <v>106</v>
      </c>
      <c r="C7" s="2" t="str">
        <f t="shared" si="0"/>
        <v>Janki ChattiPremium</v>
      </c>
      <c r="D7" s="1"/>
      <c r="E7" s="43" t="s">
        <v>160</v>
      </c>
      <c r="F7" s="43" t="str">
        <f t="shared" si="1"/>
        <v>Premium</v>
      </c>
      <c r="G7" s="1">
        <v>5000</v>
      </c>
      <c r="H7" s="1">
        <v>6200</v>
      </c>
      <c r="I7" s="1">
        <v>7000</v>
      </c>
      <c r="J7" s="3">
        <v>6800</v>
      </c>
      <c r="K7" s="1">
        <v>8300</v>
      </c>
      <c r="L7" s="1">
        <v>9500</v>
      </c>
      <c r="M7" s="1">
        <v>8600</v>
      </c>
      <c r="N7" s="1">
        <v>10400</v>
      </c>
      <c r="O7" s="1">
        <v>12000</v>
      </c>
    </row>
    <row r="8" spans="2:18" ht="43.2" x14ac:dyDescent="0.3">
      <c r="B8" s="2" t="s">
        <v>106</v>
      </c>
      <c r="C8" s="2" t="str">
        <f t="shared" si="0"/>
        <v>Janki ChattiPremium</v>
      </c>
      <c r="D8" s="1"/>
      <c r="E8" s="43" t="s">
        <v>158</v>
      </c>
      <c r="F8" s="43" t="str">
        <f t="shared" si="1"/>
        <v>Premium</v>
      </c>
      <c r="G8" s="1">
        <v>5500</v>
      </c>
      <c r="H8" s="1">
        <v>6200</v>
      </c>
      <c r="I8" s="1">
        <v>7000</v>
      </c>
      <c r="J8" s="3">
        <v>7300</v>
      </c>
      <c r="K8" s="1">
        <v>8300</v>
      </c>
      <c r="L8" s="1">
        <v>9500</v>
      </c>
      <c r="M8" s="1">
        <v>9100</v>
      </c>
      <c r="N8" s="1">
        <v>10400</v>
      </c>
      <c r="O8" s="1">
        <v>12000</v>
      </c>
    </row>
    <row r="9" spans="2:18" ht="43.2" x14ac:dyDescent="0.3">
      <c r="B9" s="2" t="s">
        <v>106</v>
      </c>
      <c r="C9" s="2" t="str">
        <f t="shared" si="0"/>
        <v>Janki ChattiPremium</v>
      </c>
      <c r="D9" s="1"/>
      <c r="E9" s="43" t="s">
        <v>159</v>
      </c>
      <c r="F9" s="43" t="str">
        <f t="shared" si="1"/>
        <v>Premium</v>
      </c>
      <c r="G9" s="1">
        <v>8000</v>
      </c>
      <c r="H9" s="1">
        <v>9500</v>
      </c>
      <c r="I9" s="1">
        <v>12000</v>
      </c>
      <c r="J9" s="3">
        <v>9800</v>
      </c>
      <c r="K9" s="1">
        <v>11600</v>
      </c>
      <c r="L9" s="1">
        <v>14500</v>
      </c>
      <c r="M9" s="1">
        <v>11600</v>
      </c>
      <c r="N9" s="1">
        <v>13700</v>
      </c>
      <c r="O9" s="1">
        <v>17000</v>
      </c>
    </row>
    <row r="10" spans="2:18" x14ac:dyDescent="0.3">
      <c r="B10" s="2" t="s">
        <v>106</v>
      </c>
      <c r="C10" s="2" t="str">
        <f t="shared" si="0"/>
        <v>Janki ChattiPremium</v>
      </c>
      <c r="D10" s="1"/>
      <c r="E10" s="43" t="s">
        <v>151</v>
      </c>
      <c r="F10" s="43" t="str">
        <f t="shared" si="1"/>
        <v>Premium</v>
      </c>
      <c r="G10" s="1">
        <v>3480</v>
      </c>
      <c r="H10" s="1">
        <v>4740</v>
      </c>
      <c r="I10" s="1">
        <v>6000</v>
      </c>
      <c r="J10" s="3"/>
      <c r="K10" s="1"/>
      <c r="L10" s="1"/>
      <c r="M10" s="1"/>
      <c r="N10" s="1"/>
      <c r="O10" s="1"/>
    </row>
    <row r="11" spans="2:18" x14ac:dyDescent="0.3">
      <c r="B11" s="2" t="s">
        <v>106</v>
      </c>
      <c r="C11" s="2" t="str">
        <f t="shared" si="0"/>
        <v>Janki ChattiPremium</v>
      </c>
      <c r="D11" s="1"/>
      <c r="E11" s="43" t="s">
        <v>152</v>
      </c>
      <c r="F11" s="43" t="str">
        <f t="shared" si="1"/>
        <v>Premium</v>
      </c>
      <c r="G11" s="1">
        <v>5265</v>
      </c>
      <c r="H11" s="1">
        <v>6525</v>
      </c>
      <c r="I11" s="1">
        <v>7785</v>
      </c>
      <c r="J11" s="3"/>
      <c r="K11" s="1"/>
      <c r="L11" s="1"/>
      <c r="M11" s="1"/>
      <c r="N11" s="1"/>
      <c r="O11" s="1"/>
    </row>
    <row r="12" spans="2:18" x14ac:dyDescent="0.3">
      <c r="B12" s="2" t="s">
        <v>106</v>
      </c>
      <c r="C12" s="2" t="str">
        <f t="shared" si="0"/>
        <v>Janki ChattiStandard</v>
      </c>
      <c r="D12" s="1"/>
      <c r="E12" s="43" t="s">
        <v>128</v>
      </c>
      <c r="F12" s="43" t="str">
        <f t="shared" si="1"/>
        <v>Standard</v>
      </c>
      <c r="G12" s="1">
        <v>2600</v>
      </c>
      <c r="H12" s="1">
        <v>2800</v>
      </c>
      <c r="I12" s="1">
        <v>3200</v>
      </c>
      <c r="J12" s="3">
        <v>2700</v>
      </c>
      <c r="K12" s="1">
        <v>3000</v>
      </c>
      <c r="L12" s="1">
        <v>3600</v>
      </c>
      <c r="M12" s="1">
        <v>3600</v>
      </c>
      <c r="N12" s="1">
        <v>4000</v>
      </c>
      <c r="O12" s="1">
        <v>4800</v>
      </c>
    </row>
    <row r="13" spans="2:18" x14ac:dyDescent="0.3">
      <c r="B13" s="2" t="s">
        <v>153</v>
      </c>
      <c r="C13" s="2" t="str">
        <f t="shared" si="0"/>
        <v>KedarnathPremium</v>
      </c>
      <c r="D13" s="1"/>
      <c r="E13" s="43" t="s">
        <v>154</v>
      </c>
      <c r="F13" s="43" t="str">
        <f t="shared" si="1"/>
        <v>Premium</v>
      </c>
      <c r="G13" s="1"/>
      <c r="H13" s="1"/>
      <c r="I13" s="1">
        <v>6500</v>
      </c>
      <c r="J13" s="3"/>
      <c r="K13" s="1"/>
      <c r="L13" s="1">
        <v>7500</v>
      </c>
      <c r="M13" s="1"/>
      <c r="N13" s="1"/>
      <c r="O13" s="1">
        <v>8000</v>
      </c>
    </row>
    <row r="14" spans="2:18" x14ac:dyDescent="0.3">
      <c r="B14" s="2" t="s">
        <v>153</v>
      </c>
      <c r="C14" s="2" t="str">
        <f t="shared" si="0"/>
        <v>KedarnathBudget</v>
      </c>
      <c r="D14" s="1"/>
      <c r="E14" s="43" t="s">
        <v>155</v>
      </c>
      <c r="F14" s="43" t="str">
        <f t="shared" si="1"/>
        <v>Budget</v>
      </c>
      <c r="G14" s="1"/>
      <c r="H14" s="1"/>
      <c r="I14" s="1"/>
      <c r="J14" s="3">
        <v>7500</v>
      </c>
      <c r="K14" s="1"/>
      <c r="L14" s="1"/>
      <c r="M14" s="1">
        <v>15000</v>
      </c>
      <c r="N14" s="1"/>
      <c r="O14" s="1"/>
    </row>
    <row r="15" spans="2:18" x14ac:dyDescent="0.3">
      <c r="B15" s="1" t="s">
        <v>153</v>
      </c>
      <c r="C15" s="2" t="str">
        <f t="shared" si="0"/>
        <v>KedarnathBudget</v>
      </c>
      <c r="D15" s="1"/>
      <c r="E15" s="43" t="s">
        <v>156</v>
      </c>
      <c r="F15" s="43" t="str">
        <f t="shared" si="1"/>
        <v>Budget</v>
      </c>
      <c r="G15" s="1">
        <v>1200</v>
      </c>
      <c r="H15" s="1">
        <v>1600</v>
      </c>
      <c r="I15" s="1">
        <v>2000</v>
      </c>
      <c r="J15" s="3">
        <v>1800</v>
      </c>
      <c r="K15" s="1">
        <v>2400</v>
      </c>
      <c r="L15" s="1">
        <v>3000</v>
      </c>
      <c r="M15" s="1">
        <v>2400</v>
      </c>
      <c r="N15" s="1"/>
      <c r="O15" s="1">
        <v>4000</v>
      </c>
    </row>
    <row r="16" spans="2:18" ht="28.8" x14ac:dyDescent="0.3">
      <c r="B16" s="1" t="s">
        <v>153</v>
      </c>
      <c r="C16" s="2" t="str">
        <f t="shared" si="0"/>
        <v>KedarnathPremium</v>
      </c>
      <c r="D16" s="1"/>
      <c r="E16" s="43" t="s">
        <v>157</v>
      </c>
      <c r="F16" s="43" t="str">
        <f t="shared" si="1"/>
        <v>Premium</v>
      </c>
      <c r="G16" s="1"/>
      <c r="H16" s="1"/>
      <c r="I16" s="1">
        <v>7000</v>
      </c>
      <c r="J16" s="3"/>
      <c r="K16" s="1"/>
      <c r="L16" s="1">
        <v>10500</v>
      </c>
      <c r="M16" s="1"/>
      <c r="N16" s="1"/>
      <c r="O16" s="1">
        <v>12500</v>
      </c>
    </row>
    <row r="17" spans="2:15" x14ac:dyDescent="0.3">
      <c r="B17" s="1" t="s">
        <v>106</v>
      </c>
      <c r="C17" s="2" t="str">
        <f t="shared" si="0"/>
        <v>Janki ChattiBudget</v>
      </c>
      <c r="D17" s="1"/>
      <c r="E17" s="43" t="s">
        <v>161</v>
      </c>
      <c r="F17" s="43" t="str">
        <f t="shared" si="1"/>
        <v>Budget</v>
      </c>
      <c r="G17" s="1">
        <v>1200</v>
      </c>
      <c r="H17" s="1">
        <v>1600</v>
      </c>
      <c r="I17" s="1">
        <v>2400</v>
      </c>
      <c r="J17" s="3">
        <v>1800</v>
      </c>
      <c r="K17" s="1">
        <v>2400</v>
      </c>
      <c r="L17" s="1">
        <v>3600</v>
      </c>
      <c r="M17" s="1">
        <v>2400</v>
      </c>
      <c r="N17" s="1">
        <v>3200</v>
      </c>
      <c r="O17" s="1">
        <v>4800</v>
      </c>
    </row>
    <row r="18" spans="2:15" x14ac:dyDescent="0.3">
      <c r="B18" s="2" t="s">
        <v>107</v>
      </c>
      <c r="C18" s="2" t="str">
        <f t="shared" si="0"/>
        <v>UttarkashiStandard</v>
      </c>
      <c r="D18" s="1"/>
      <c r="E18" s="67" t="s">
        <v>162</v>
      </c>
      <c r="F18" s="43" t="str">
        <f t="shared" si="1"/>
        <v>Standard</v>
      </c>
      <c r="G18" s="1">
        <v>2000</v>
      </c>
      <c r="H18" s="1">
        <v>2500</v>
      </c>
      <c r="I18" s="1">
        <v>3000</v>
      </c>
      <c r="J18" s="3">
        <v>3000</v>
      </c>
      <c r="K18" s="1">
        <v>3500</v>
      </c>
      <c r="L18" s="1">
        <v>4000</v>
      </c>
      <c r="M18" s="1">
        <v>4500</v>
      </c>
      <c r="N18" s="1">
        <v>4500</v>
      </c>
      <c r="O18" s="1">
        <v>5000</v>
      </c>
    </row>
    <row r="19" spans="2:15" x14ac:dyDescent="0.3">
      <c r="B19" s="2" t="s">
        <v>107</v>
      </c>
      <c r="C19" s="2" t="str">
        <f t="shared" si="0"/>
        <v>UttarkashiStandard</v>
      </c>
      <c r="D19" s="1"/>
      <c r="E19" s="67" t="s">
        <v>163</v>
      </c>
      <c r="F19" s="43" t="str">
        <f t="shared" si="1"/>
        <v>Standard</v>
      </c>
      <c r="G19" s="1">
        <v>2500</v>
      </c>
      <c r="H19" s="1">
        <v>3000</v>
      </c>
      <c r="I19" s="1">
        <v>3600</v>
      </c>
      <c r="J19" s="8">
        <v>3400</v>
      </c>
      <c r="K19" s="45">
        <v>4000</v>
      </c>
      <c r="L19" s="45">
        <v>4800</v>
      </c>
      <c r="M19" s="45"/>
      <c r="N19" s="45"/>
      <c r="O19" s="1">
        <v>5500</v>
      </c>
    </row>
    <row r="20" spans="2:15" x14ac:dyDescent="0.3">
      <c r="B20" s="2" t="s">
        <v>107</v>
      </c>
      <c r="C20" s="2" t="str">
        <f t="shared" si="0"/>
        <v>UttarkashiBudget</v>
      </c>
      <c r="D20" s="1"/>
      <c r="E20" s="67" t="s">
        <v>164</v>
      </c>
      <c r="F20" s="43" t="str">
        <f t="shared" si="1"/>
        <v>Budget</v>
      </c>
      <c r="G20" s="1"/>
      <c r="H20" s="1"/>
      <c r="I20" s="1"/>
      <c r="J20" s="8"/>
      <c r="K20" s="45"/>
      <c r="L20" s="45"/>
      <c r="M20" s="45"/>
      <c r="N20" s="45"/>
      <c r="O20" s="1"/>
    </row>
    <row r="21" spans="2:15" x14ac:dyDescent="0.3">
      <c r="B21" s="2" t="s">
        <v>107</v>
      </c>
      <c r="C21" s="2" t="str">
        <f t="shared" si="0"/>
        <v>UttarkashiPremium</v>
      </c>
      <c r="D21" s="1"/>
      <c r="E21" s="67" t="s">
        <v>968</v>
      </c>
      <c r="F21" s="43" t="str">
        <f t="shared" si="1"/>
        <v>Premium</v>
      </c>
      <c r="G21" s="1">
        <v>5800</v>
      </c>
      <c r="H21" s="1">
        <v>6400</v>
      </c>
      <c r="I21" s="45">
        <v>7700</v>
      </c>
      <c r="J21" s="8">
        <v>3700</v>
      </c>
      <c r="K21" s="45">
        <v>4000</v>
      </c>
      <c r="L21" s="45">
        <v>5200</v>
      </c>
      <c r="M21" s="45">
        <v>4000</v>
      </c>
      <c r="N21" s="45">
        <v>4400</v>
      </c>
      <c r="O21" s="1">
        <v>6000</v>
      </c>
    </row>
    <row r="22" spans="2:15" x14ac:dyDescent="0.3">
      <c r="B22" s="2" t="s">
        <v>107</v>
      </c>
      <c r="C22" s="2" t="str">
        <f t="shared" si="0"/>
        <v>UttarkashiStandard</v>
      </c>
      <c r="D22" s="1"/>
      <c r="E22" s="67" t="s">
        <v>166</v>
      </c>
      <c r="F22" s="43" t="str">
        <f t="shared" si="1"/>
        <v>Standard</v>
      </c>
      <c r="G22" s="1">
        <v>2400</v>
      </c>
      <c r="H22" s="1">
        <v>2800</v>
      </c>
      <c r="I22" s="45">
        <v>3200</v>
      </c>
      <c r="J22" s="8">
        <v>3000</v>
      </c>
      <c r="K22" s="45">
        <v>3600</v>
      </c>
      <c r="L22" s="45">
        <v>4200</v>
      </c>
      <c r="M22" s="45">
        <v>3600</v>
      </c>
      <c r="N22" s="45">
        <v>4400</v>
      </c>
      <c r="O22" s="1">
        <v>5200</v>
      </c>
    </row>
    <row r="23" spans="2:15" x14ac:dyDescent="0.3">
      <c r="B23" s="2" t="s">
        <v>107</v>
      </c>
      <c r="C23" s="2" t="str">
        <f t="shared" si="0"/>
        <v>UttarkashiStandard</v>
      </c>
      <c r="D23" s="1"/>
      <c r="E23" s="67" t="s">
        <v>167</v>
      </c>
      <c r="F23" s="43" t="str">
        <f t="shared" si="1"/>
        <v>Standard</v>
      </c>
      <c r="G23" s="1">
        <v>2500</v>
      </c>
      <c r="H23" s="1">
        <v>2800</v>
      </c>
      <c r="I23" s="45">
        <v>3500</v>
      </c>
      <c r="J23" s="8">
        <v>3300</v>
      </c>
      <c r="K23" s="45">
        <v>3750</v>
      </c>
      <c r="L23" s="45">
        <v>4800</v>
      </c>
      <c r="M23" s="45">
        <v>4000</v>
      </c>
      <c r="N23" s="45">
        <v>4600</v>
      </c>
      <c r="O23" s="1">
        <v>6000</v>
      </c>
    </row>
    <row r="24" spans="2:15" x14ac:dyDescent="0.3">
      <c r="B24" s="1" t="s">
        <v>107</v>
      </c>
      <c r="C24" s="2" t="str">
        <f t="shared" si="0"/>
        <v>UttarkashiBudget</v>
      </c>
      <c r="D24" s="1"/>
      <c r="E24" s="67" t="s">
        <v>168</v>
      </c>
      <c r="F24" s="43" t="str">
        <f t="shared" si="1"/>
        <v>Budget</v>
      </c>
      <c r="G24" s="1">
        <v>1400</v>
      </c>
      <c r="H24" s="1"/>
      <c r="I24" s="45">
        <v>2000</v>
      </c>
      <c r="J24" s="8">
        <v>2500</v>
      </c>
      <c r="K24" s="45"/>
      <c r="L24" s="45">
        <v>3000</v>
      </c>
      <c r="M24" s="45">
        <v>3500</v>
      </c>
      <c r="N24" s="45"/>
      <c r="O24" s="1">
        <v>4000</v>
      </c>
    </row>
    <row r="25" spans="2:15" x14ac:dyDescent="0.3">
      <c r="B25" s="7" t="s">
        <v>107</v>
      </c>
      <c r="C25" s="2" t="str">
        <f t="shared" si="0"/>
        <v>UttarkashiStandard</v>
      </c>
      <c r="D25" s="1"/>
      <c r="E25" s="67" t="s">
        <v>169</v>
      </c>
      <c r="F25" s="43" t="str">
        <f t="shared" si="1"/>
        <v>Standard</v>
      </c>
      <c r="G25" s="45">
        <v>2500</v>
      </c>
      <c r="H25" s="1">
        <v>2900</v>
      </c>
      <c r="I25" s="45">
        <v>3500</v>
      </c>
      <c r="J25" s="8">
        <v>3300</v>
      </c>
      <c r="K25" s="45">
        <v>3900</v>
      </c>
      <c r="L25" s="45">
        <v>4800</v>
      </c>
      <c r="M25" s="45">
        <v>4100</v>
      </c>
      <c r="N25" s="45">
        <v>4900</v>
      </c>
      <c r="O25" s="1">
        <v>6100</v>
      </c>
    </row>
    <row r="26" spans="2:15" ht="28.8" x14ac:dyDescent="0.3">
      <c r="B26" s="7" t="s">
        <v>170</v>
      </c>
      <c r="C26" s="2" t="str">
        <f t="shared" si="0"/>
        <v>SonprayagBudget</v>
      </c>
      <c r="D26" s="1"/>
      <c r="E26" s="67" t="s">
        <v>171</v>
      </c>
      <c r="F26" s="43" t="str">
        <f t="shared" si="1"/>
        <v>Budget</v>
      </c>
      <c r="G26" s="45">
        <v>600</v>
      </c>
      <c r="H26" s="45"/>
      <c r="I26" s="45">
        <v>850</v>
      </c>
      <c r="J26" s="8"/>
      <c r="K26" s="45"/>
      <c r="L26" s="45"/>
      <c r="M26" s="45"/>
      <c r="N26" s="45"/>
      <c r="O26" s="1"/>
    </row>
    <row r="27" spans="2:15" x14ac:dyDescent="0.3">
      <c r="B27" s="7" t="s">
        <v>170</v>
      </c>
      <c r="C27" s="2" t="str">
        <f t="shared" si="0"/>
        <v>SonprayagStandard</v>
      </c>
      <c r="D27" s="1"/>
      <c r="E27" s="67" t="s">
        <v>172</v>
      </c>
      <c r="F27" s="43" t="str">
        <f t="shared" si="1"/>
        <v>Standard</v>
      </c>
      <c r="G27" s="45">
        <v>2800</v>
      </c>
      <c r="H27" s="45"/>
      <c r="I27" s="45">
        <v>3400</v>
      </c>
      <c r="J27" s="8">
        <v>3300</v>
      </c>
      <c r="K27" s="45"/>
      <c r="L27" s="45">
        <v>4200</v>
      </c>
      <c r="M27" s="45"/>
      <c r="N27" s="45"/>
      <c r="O27" s="1"/>
    </row>
    <row r="28" spans="2:15" x14ac:dyDescent="0.3">
      <c r="B28" s="7" t="s">
        <v>173</v>
      </c>
      <c r="C28" s="2" t="str">
        <f t="shared" si="0"/>
        <v>SitapurStandard</v>
      </c>
      <c r="D28" s="1"/>
      <c r="E28" s="67" t="s">
        <v>174</v>
      </c>
      <c r="F28" s="43" t="str">
        <f t="shared" si="1"/>
        <v>Standard</v>
      </c>
      <c r="G28" s="1">
        <v>2200</v>
      </c>
      <c r="H28" s="1"/>
      <c r="I28" s="1">
        <v>3000</v>
      </c>
      <c r="J28" s="3">
        <v>3000</v>
      </c>
      <c r="K28" s="1"/>
      <c r="L28" s="1">
        <v>4200</v>
      </c>
      <c r="M28" s="1">
        <v>4100</v>
      </c>
      <c r="N28" s="45"/>
      <c r="O28" s="1">
        <v>5600</v>
      </c>
    </row>
    <row r="29" spans="2:15" x14ac:dyDescent="0.3">
      <c r="B29" s="7" t="s">
        <v>173</v>
      </c>
      <c r="C29" s="2" t="str">
        <f t="shared" si="0"/>
        <v>SitapurPremium</v>
      </c>
      <c r="D29" s="1"/>
      <c r="E29" s="67" t="s">
        <v>1061</v>
      </c>
      <c r="F29" s="43" t="str">
        <f t="shared" si="1"/>
        <v>Premium</v>
      </c>
      <c r="G29" s="45">
        <v>3500</v>
      </c>
      <c r="H29" s="45">
        <v>4000</v>
      </c>
      <c r="I29" s="45">
        <v>4800</v>
      </c>
      <c r="J29" s="8">
        <v>4500</v>
      </c>
      <c r="K29" s="45">
        <v>5250</v>
      </c>
      <c r="L29" s="45">
        <v>5700</v>
      </c>
      <c r="M29" s="45"/>
      <c r="N29" s="1"/>
      <c r="O29" s="1"/>
    </row>
    <row r="30" spans="2:15" x14ac:dyDescent="0.3">
      <c r="B30" s="7" t="s">
        <v>173</v>
      </c>
      <c r="C30" s="2" t="str">
        <f t="shared" si="0"/>
        <v>SitapurStandard</v>
      </c>
      <c r="D30" s="1"/>
      <c r="E30" s="67" t="s">
        <v>176</v>
      </c>
      <c r="F30" s="43" t="str">
        <f t="shared" si="1"/>
        <v>Standard</v>
      </c>
      <c r="G30" s="45">
        <v>2500</v>
      </c>
      <c r="H30" s="45">
        <v>2900</v>
      </c>
      <c r="I30" s="45">
        <v>3200</v>
      </c>
      <c r="J30" s="8">
        <v>3000</v>
      </c>
      <c r="K30" s="45">
        <v>3600</v>
      </c>
      <c r="L30" s="45">
        <v>3900</v>
      </c>
      <c r="M30" s="45">
        <v>3600</v>
      </c>
      <c r="N30" s="45">
        <v>4400</v>
      </c>
      <c r="O30" s="1">
        <v>4800</v>
      </c>
    </row>
    <row r="31" spans="2:15" x14ac:dyDescent="0.3">
      <c r="B31" s="7" t="s">
        <v>173</v>
      </c>
      <c r="C31" s="2" t="str">
        <f t="shared" si="0"/>
        <v>SitapurStandard</v>
      </c>
      <c r="D31" s="1"/>
      <c r="E31" s="67" t="s">
        <v>177</v>
      </c>
      <c r="F31" s="43" t="str">
        <f t="shared" si="1"/>
        <v>Standard</v>
      </c>
      <c r="G31" s="45">
        <v>3100</v>
      </c>
      <c r="H31" s="45">
        <v>3300</v>
      </c>
      <c r="I31" s="45">
        <v>3500</v>
      </c>
      <c r="J31" s="8">
        <v>3500</v>
      </c>
      <c r="K31" s="45">
        <v>3700</v>
      </c>
      <c r="L31" s="45">
        <v>3900</v>
      </c>
      <c r="M31" s="45">
        <v>4300</v>
      </c>
      <c r="N31" s="45">
        <v>4500</v>
      </c>
      <c r="O31" s="1">
        <v>4700</v>
      </c>
    </row>
    <row r="32" spans="2:15" x14ac:dyDescent="0.3">
      <c r="B32" s="7" t="s">
        <v>173</v>
      </c>
      <c r="C32" s="2" t="str">
        <f t="shared" si="0"/>
        <v>SitapurBudget</v>
      </c>
      <c r="D32" s="1"/>
      <c r="E32" s="67" t="s">
        <v>178</v>
      </c>
      <c r="F32" s="43" t="str">
        <f t="shared" si="1"/>
        <v>Budget</v>
      </c>
      <c r="G32" s="45">
        <v>2000</v>
      </c>
      <c r="H32" s="45"/>
      <c r="I32" s="45">
        <v>2500</v>
      </c>
      <c r="J32" s="8">
        <v>2500</v>
      </c>
      <c r="K32" s="45"/>
      <c r="L32" s="45">
        <v>3200</v>
      </c>
      <c r="M32" s="45">
        <v>3000</v>
      </c>
      <c r="N32" s="45"/>
      <c r="O32" s="1">
        <v>4000</v>
      </c>
    </row>
    <row r="33" spans="2:15" x14ac:dyDescent="0.3">
      <c r="B33" s="7" t="s">
        <v>179</v>
      </c>
      <c r="C33" s="2" t="str">
        <f t="shared" si="0"/>
        <v>RudraprayagStandard</v>
      </c>
      <c r="D33" s="1"/>
      <c r="E33" s="67" t="s">
        <v>180</v>
      </c>
      <c r="F33" s="43" t="str">
        <f t="shared" si="1"/>
        <v>Standard</v>
      </c>
      <c r="G33" s="45">
        <v>2400</v>
      </c>
      <c r="H33" s="45"/>
      <c r="I33" s="45">
        <v>3200</v>
      </c>
      <c r="J33" s="8">
        <v>3300</v>
      </c>
      <c r="K33" s="45"/>
      <c r="L33" s="45">
        <v>4400</v>
      </c>
      <c r="M33" s="45">
        <v>4000</v>
      </c>
      <c r="N33" s="45"/>
      <c r="O33" s="1">
        <v>5200</v>
      </c>
    </row>
    <row r="34" spans="2:15" x14ac:dyDescent="0.3">
      <c r="B34" s="7" t="s">
        <v>179</v>
      </c>
      <c r="C34" s="2" t="str">
        <f t="shared" si="0"/>
        <v>RudraprayagStandard</v>
      </c>
      <c r="D34" s="1"/>
      <c r="E34" s="67" t="s">
        <v>181</v>
      </c>
      <c r="F34" s="43" t="str">
        <f t="shared" si="1"/>
        <v>Standard</v>
      </c>
      <c r="G34" s="45">
        <v>3000</v>
      </c>
      <c r="H34" s="45"/>
      <c r="I34" s="45">
        <v>3800</v>
      </c>
      <c r="J34" s="8">
        <v>3900</v>
      </c>
      <c r="K34" s="45"/>
      <c r="L34" s="45">
        <v>5000</v>
      </c>
      <c r="M34" s="45">
        <v>4600</v>
      </c>
      <c r="N34" s="45"/>
      <c r="O34" s="1">
        <v>5800</v>
      </c>
    </row>
    <row r="35" spans="2:15" x14ac:dyDescent="0.3">
      <c r="B35" s="7" t="s">
        <v>179</v>
      </c>
      <c r="C35" s="2" t="str">
        <f t="shared" si="0"/>
        <v>RudraprayagPremium</v>
      </c>
      <c r="D35" s="1"/>
      <c r="E35" s="67" t="s">
        <v>182</v>
      </c>
      <c r="F35" s="43" t="str">
        <f t="shared" si="1"/>
        <v>Premium</v>
      </c>
      <c r="G35" s="45">
        <v>3600</v>
      </c>
      <c r="H35" s="45"/>
      <c r="I35" s="45">
        <v>4400</v>
      </c>
      <c r="J35" s="8"/>
      <c r="K35" s="45"/>
      <c r="L35" s="45"/>
      <c r="M35" s="45"/>
      <c r="N35" s="45"/>
      <c r="O35" s="1"/>
    </row>
    <row r="36" spans="2:15" x14ac:dyDescent="0.3">
      <c r="B36" s="7" t="s">
        <v>179</v>
      </c>
      <c r="C36" s="2" t="str">
        <f t="shared" si="0"/>
        <v>RudraprayagPremium</v>
      </c>
      <c r="D36" s="1"/>
      <c r="E36" s="67" t="s">
        <v>183</v>
      </c>
      <c r="F36" s="43" t="str">
        <f t="shared" si="1"/>
        <v>Premium</v>
      </c>
      <c r="G36" s="45">
        <v>3500</v>
      </c>
      <c r="H36" s="45">
        <v>4200</v>
      </c>
      <c r="I36" s="45">
        <v>5000</v>
      </c>
      <c r="J36" s="8">
        <v>4600</v>
      </c>
      <c r="K36" s="45">
        <v>5000</v>
      </c>
      <c r="L36" s="45">
        <v>6000</v>
      </c>
      <c r="M36" s="45">
        <v>5000</v>
      </c>
      <c r="N36" s="45">
        <v>5800</v>
      </c>
      <c r="O36" s="1">
        <v>7000</v>
      </c>
    </row>
    <row r="37" spans="2:15" x14ac:dyDescent="0.3">
      <c r="B37" s="7" t="s">
        <v>184</v>
      </c>
      <c r="C37" s="2" t="str">
        <f t="shared" si="0"/>
        <v>PipalkotiPremium</v>
      </c>
      <c r="D37" s="1"/>
      <c r="E37" s="67" t="s">
        <v>185</v>
      </c>
      <c r="F37" s="43" t="str">
        <f t="shared" si="1"/>
        <v>Premium</v>
      </c>
      <c r="G37" s="45">
        <v>3000</v>
      </c>
      <c r="H37" s="45">
        <v>3400</v>
      </c>
      <c r="I37" s="45">
        <v>4200</v>
      </c>
      <c r="J37" s="8">
        <v>3500</v>
      </c>
      <c r="K37" s="45">
        <v>4100</v>
      </c>
      <c r="L37" s="45">
        <v>5300</v>
      </c>
      <c r="M37" s="45">
        <v>5600</v>
      </c>
      <c r="N37" s="45">
        <v>6400</v>
      </c>
      <c r="O37" s="1">
        <v>8000</v>
      </c>
    </row>
    <row r="38" spans="2:15" x14ac:dyDescent="0.3">
      <c r="B38" s="7" t="s">
        <v>184</v>
      </c>
      <c r="C38" s="2" t="str">
        <f t="shared" si="0"/>
        <v>PipalkotiPremium</v>
      </c>
      <c r="D38" s="1"/>
      <c r="E38" s="43" t="s">
        <v>186</v>
      </c>
      <c r="F38" s="43" t="str">
        <f t="shared" si="1"/>
        <v>Premium</v>
      </c>
      <c r="G38" s="45">
        <v>3500</v>
      </c>
      <c r="H38" s="45">
        <v>3900</v>
      </c>
      <c r="I38" s="45">
        <v>4700</v>
      </c>
      <c r="J38" s="8"/>
      <c r="K38" s="45"/>
      <c r="L38" s="45"/>
      <c r="M38" s="45">
        <v>5600</v>
      </c>
      <c r="N38" s="45">
        <v>6400</v>
      </c>
      <c r="O38" s="1">
        <v>8000</v>
      </c>
    </row>
    <row r="39" spans="2:15" x14ac:dyDescent="0.3">
      <c r="B39" s="7" t="s">
        <v>184</v>
      </c>
      <c r="C39" s="2" t="str">
        <f t="shared" si="0"/>
        <v>PipalkotiStandard</v>
      </c>
      <c r="D39" s="1"/>
      <c r="E39" s="43" t="s">
        <v>187</v>
      </c>
      <c r="F39" s="43" t="str">
        <f t="shared" si="1"/>
        <v>Standard</v>
      </c>
      <c r="G39" s="45"/>
      <c r="H39" s="45"/>
      <c r="I39" s="45">
        <v>3500</v>
      </c>
      <c r="J39" s="8"/>
      <c r="K39" s="45"/>
      <c r="L39" s="45">
        <v>4500</v>
      </c>
      <c r="M39" s="45"/>
      <c r="N39" s="45"/>
      <c r="O39" s="1">
        <v>5600</v>
      </c>
    </row>
    <row r="40" spans="2:15" x14ac:dyDescent="0.3">
      <c r="B40" s="7" t="s">
        <v>184</v>
      </c>
      <c r="C40" s="2" t="str">
        <f t="shared" si="0"/>
        <v>PipalkotiStandard</v>
      </c>
      <c r="D40" s="1"/>
      <c r="E40" s="43" t="s">
        <v>188</v>
      </c>
      <c r="F40" s="43" t="str">
        <f t="shared" si="1"/>
        <v>Standard</v>
      </c>
      <c r="G40" s="1">
        <v>2500</v>
      </c>
      <c r="H40" s="1"/>
      <c r="I40" s="1">
        <v>3300</v>
      </c>
      <c r="J40" s="3">
        <v>3000</v>
      </c>
      <c r="K40" s="1"/>
      <c r="L40" s="1">
        <v>4200</v>
      </c>
      <c r="M40" s="1">
        <v>4000</v>
      </c>
      <c r="N40" s="1"/>
      <c r="O40" s="1">
        <v>5600</v>
      </c>
    </row>
    <row r="41" spans="2:15" x14ac:dyDescent="0.3">
      <c r="B41" s="7" t="s">
        <v>184</v>
      </c>
      <c r="C41" s="2" t="str">
        <f t="shared" si="0"/>
        <v>PipalkotiStandard</v>
      </c>
      <c r="D41" s="1"/>
      <c r="E41" s="43" t="s">
        <v>189</v>
      </c>
      <c r="F41" s="43" t="str">
        <f t="shared" si="1"/>
        <v>Standard</v>
      </c>
      <c r="G41" s="1">
        <v>2500</v>
      </c>
      <c r="H41" s="1"/>
      <c r="I41" s="1">
        <v>3200</v>
      </c>
      <c r="J41" s="3">
        <v>3000</v>
      </c>
      <c r="K41" s="1"/>
      <c r="L41" s="1">
        <v>4200</v>
      </c>
      <c r="M41" s="1">
        <v>4000</v>
      </c>
      <c r="N41" s="1"/>
      <c r="O41" s="1">
        <v>5600</v>
      </c>
    </row>
    <row r="42" spans="2:15" x14ac:dyDescent="0.3">
      <c r="B42" s="7" t="s">
        <v>184</v>
      </c>
      <c r="C42" s="2" t="str">
        <f t="shared" si="0"/>
        <v>PipalkotiPremium</v>
      </c>
      <c r="D42" s="1"/>
      <c r="E42" s="67" t="s">
        <v>190</v>
      </c>
      <c r="F42" s="43" t="str">
        <f t="shared" si="1"/>
        <v>Premium</v>
      </c>
      <c r="G42" s="1">
        <v>6000</v>
      </c>
      <c r="H42" s="1">
        <v>6500</v>
      </c>
      <c r="I42" s="1">
        <v>7000</v>
      </c>
      <c r="J42" s="1">
        <v>6800</v>
      </c>
      <c r="K42" s="1">
        <v>7050</v>
      </c>
      <c r="L42" s="1">
        <v>7400</v>
      </c>
      <c r="M42" s="1"/>
      <c r="N42" s="1"/>
      <c r="O42" s="3"/>
    </row>
    <row r="43" spans="2:15" x14ac:dyDescent="0.3">
      <c r="B43" s="7" t="s">
        <v>105</v>
      </c>
      <c r="C43" s="2" t="str">
        <f t="shared" si="0"/>
        <v>BadarinathPremium</v>
      </c>
      <c r="D43" s="1"/>
      <c r="E43" s="67" t="s">
        <v>191</v>
      </c>
      <c r="F43" s="43" t="str">
        <f t="shared" si="1"/>
        <v>Premium</v>
      </c>
      <c r="G43" s="1">
        <v>4000</v>
      </c>
      <c r="H43" s="1">
        <v>4400</v>
      </c>
      <c r="I43" s="1">
        <v>4600</v>
      </c>
      <c r="J43" s="1">
        <v>3600</v>
      </c>
      <c r="K43" s="1">
        <v>4500</v>
      </c>
      <c r="L43" s="1">
        <v>4800</v>
      </c>
      <c r="M43" s="1">
        <v>4800</v>
      </c>
      <c r="N43" s="1">
        <v>6000</v>
      </c>
      <c r="O43" s="3">
        <v>6400</v>
      </c>
    </row>
    <row r="44" spans="2:15" x14ac:dyDescent="0.3">
      <c r="B44" s="7" t="s">
        <v>173</v>
      </c>
      <c r="C44" s="2" t="str">
        <f t="shared" si="0"/>
        <v>SitapurPremium</v>
      </c>
      <c r="D44" s="1"/>
      <c r="E44" s="67" t="s">
        <v>439</v>
      </c>
      <c r="F44" s="43" t="str">
        <f t="shared" si="1"/>
        <v>Premium</v>
      </c>
      <c r="G44" s="1">
        <v>2940</v>
      </c>
      <c r="H44" s="1">
        <v>3360</v>
      </c>
      <c r="I44" s="1">
        <v>4043</v>
      </c>
      <c r="J44" s="1">
        <v>3675</v>
      </c>
      <c r="K44" s="1">
        <v>4200</v>
      </c>
      <c r="L44" s="1">
        <v>5330</v>
      </c>
      <c r="M44" s="1">
        <v>4725</v>
      </c>
      <c r="N44" s="1">
        <v>5460</v>
      </c>
      <c r="O44" s="3">
        <v>6930</v>
      </c>
    </row>
    <row r="45" spans="2:15" x14ac:dyDescent="0.3">
      <c r="B45" s="7" t="s">
        <v>441</v>
      </c>
      <c r="C45" s="2" t="str">
        <f t="shared" si="0"/>
        <v>BarkotStandard</v>
      </c>
      <c r="D45" s="1"/>
      <c r="E45" s="67" t="s">
        <v>440</v>
      </c>
      <c r="F45" s="43" t="str">
        <f t="shared" si="1"/>
        <v>Standard</v>
      </c>
      <c r="G45" s="1">
        <v>2000</v>
      </c>
      <c r="H45" s="1">
        <v>2300</v>
      </c>
      <c r="I45" s="1">
        <v>3000</v>
      </c>
      <c r="J45" s="1">
        <v>2500</v>
      </c>
      <c r="K45" s="1">
        <v>2950</v>
      </c>
      <c r="L45" s="1">
        <v>4000</v>
      </c>
      <c r="M45" s="1">
        <v>3000</v>
      </c>
      <c r="N45" s="1"/>
      <c r="O45" s="3"/>
    </row>
    <row r="46" spans="2:15" x14ac:dyDescent="0.3">
      <c r="B46" s="7" t="s">
        <v>106</v>
      </c>
      <c r="C46" s="2" t="str">
        <f t="shared" si="0"/>
        <v>Janki ChattiBudget</v>
      </c>
      <c r="D46" s="1"/>
      <c r="E46" s="67" t="s">
        <v>463</v>
      </c>
      <c r="F46" s="43" t="str">
        <f t="shared" si="1"/>
        <v>Budget</v>
      </c>
      <c r="G46" s="1">
        <v>2200</v>
      </c>
      <c r="H46" s="1"/>
      <c r="I46" s="1">
        <v>2500</v>
      </c>
      <c r="J46" s="1">
        <v>3000</v>
      </c>
      <c r="K46" s="1"/>
      <c r="L46" s="1">
        <v>4200</v>
      </c>
      <c r="M46" s="1">
        <v>4000</v>
      </c>
      <c r="N46" s="1"/>
      <c r="O46" s="3">
        <v>5600</v>
      </c>
    </row>
    <row r="47" spans="2:15" x14ac:dyDescent="0.3">
      <c r="B47" s="7" t="s">
        <v>106</v>
      </c>
      <c r="C47" s="2" t="str">
        <f t="shared" si="0"/>
        <v>Janki ChattiBudget</v>
      </c>
      <c r="D47" s="1"/>
      <c r="E47" s="67" t="s">
        <v>464</v>
      </c>
      <c r="F47" s="43" t="str">
        <f t="shared" si="1"/>
        <v>Budget</v>
      </c>
      <c r="G47" s="1">
        <v>2000</v>
      </c>
      <c r="H47" s="1"/>
      <c r="I47" s="1"/>
      <c r="J47" s="1"/>
      <c r="K47" s="1"/>
      <c r="L47" s="1"/>
      <c r="M47" s="1"/>
      <c r="N47" s="1"/>
      <c r="O47" s="3"/>
    </row>
    <row r="48" spans="2:15" x14ac:dyDescent="0.3">
      <c r="B48" s="7" t="s">
        <v>106</v>
      </c>
      <c r="C48" s="2" t="str">
        <f t="shared" si="0"/>
        <v>Janki ChattiBudget</v>
      </c>
      <c r="D48" s="1"/>
      <c r="E48" s="67" t="s">
        <v>465</v>
      </c>
      <c r="F48" s="43" t="str">
        <f t="shared" si="1"/>
        <v>Budget</v>
      </c>
      <c r="G48" s="45"/>
      <c r="H48" s="45"/>
      <c r="I48" s="45"/>
      <c r="J48" s="45"/>
      <c r="K48" s="45"/>
      <c r="L48" s="45"/>
      <c r="M48" s="45"/>
      <c r="N48" s="45"/>
      <c r="O48" s="8"/>
    </row>
    <row r="49" spans="2:15" x14ac:dyDescent="0.3">
      <c r="B49" s="7" t="s">
        <v>441</v>
      </c>
      <c r="C49" s="2" t="str">
        <f t="shared" si="0"/>
        <v>BarkotBudget</v>
      </c>
      <c r="D49" s="1"/>
      <c r="E49" s="67" t="s">
        <v>466</v>
      </c>
      <c r="F49" s="43" t="str">
        <f t="shared" si="1"/>
        <v>Budget</v>
      </c>
      <c r="G49" s="45">
        <v>1000</v>
      </c>
      <c r="H49" s="45"/>
      <c r="I49" s="45">
        <v>2000</v>
      </c>
      <c r="J49" s="8">
        <v>1500</v>
      </c>
      <c r="K49" s="45"/>
      <c r="L49" s="45">
        <v>3500</v>
      </c>
      <c r="M49" s="45">
        <v>2500</v>
      </c>
      <c r="N49" s="45"/>
      <c r="O49" s="1">
        <v>4500</v>
      </c>
    </row>
    <row r="50" spans="2:15" x14ac:dyDescent="0.3">
      <c r="B50" s="7" t="s">
        <v>441</v>
      </c>
      <c r="C50" s="2" t="str">
        <f t="shared" si="0"/>
        <v>BarkotStandard</v>
      </c>
      <c r="D50" s="1"/>
      <c r="E50" s="67" t="s">
        <v>467</v>
      </c>
      <c r="F50" s="43" t="str">
        <f t="shared" si="1"/>
        <v>Standard</v>
      </c>
      <c r="G50" s="45">
        <v>2500</v>
      </c>
      <c r="H50" s="45">
        <v>2900</v>
      </c>
      <c r="I50" s="45">
        <v>3500</v>
      </c>
      <c r="J50" s="8">
        <v>3300</v>
      </c>
      <c r="K50" s="45">
        <v>3900</v>
      </c>
      <c r="L50" s="45">
        <v>4800</v>
      </c>
      <c r="M50" s="45">
        <v>4100</v>
      </c>
      <c r="N50" s="45">
        <v>4900</v>
      </c>
      <c r="O50" s="1">
        <v>6100</v>
      </c>
    </row>
    <row r="51" spans="2:15" x14ac:dyDescent="0.3">
      <c r="B51" s="7" t="s">
        <v>441</v>
      </c>
      <c r="C51" s="2" t="str">
        <f t="shared" si="0"/>
        <v>BarkotStandard</v>
      </c>
      <c r="D51" s="1"/>
      <c r="E51" s="67" t="s">
        <v>468</v>
      </c>
      <c r="F51" s="43" t="str">
        <f t="shared" si="1"/>
        <v>Standard</v>
      </c>
      <c r="G51" s="45">
        <v>3000</v>
      </c>
      <c r="H51" s="45">
        <v>3400</v>
      </c>
      <c r="I51" s="45">
        <v>4000</v>
      </c>
      <c r="J51" s="8"/>
      <c r="K51" s="45"/>
      <c r="L51" s="45"/>
      <c r="M51" s="45">
        <v>5000</v>
      </c>
      <c r="N51" s="45">
        <v>5800</v>
      </c>
      <c r="O51" s="1">
        <v>7000</v>
      </c>
    </row>
    <row r="52" spans="2:15" x14ac:dyDescent="0.3">
      <c r="B52" s="7" t="s">
        <v>469</v>
      </c>
      <c r="C52" s="2" t="str">
        <f t="shared" si="0"/>
        <v>PandukeshwarStandard</v>
      </c>
      <c r="D52" s="1"/>
      <c r="E52" s="67" t="s">
        <v>470</v>
      </c>
      <c r="F52" s="43" t="str">
        <f t="shared" si="1"/>
        <v>Standard</v>
      </c>
      <c r="G52" s="45">
        <v>3000</v>
      </c>
      <c r="H52" s="45">
        <v>3400</v>
      </c>
      <c r="I52" s="45">
        <v>4000</v>
      </c>
      <c r="J52" s="8">
        <v>4000</v>
      </c>
      <c r="K52" s="45">
        <v>4600</v>
      </c>
      <c r="L52" s="45">
        <v>5500</v>
      </c>
      <c r="M52" s="45">
        <v>5000</v>
      </c>
      <c r="N52" s="45">
        <v>5800</v>
      </c>
      <c r="O52" s="1">
        <v>7000</v>
      </c>
    </row>
    <row r="53" spans="2:15" x14ac:dyDescent="0.3">
      <c r="B53" s="7" t="s">
        <v>441</v>
      </c>
      <c r="C53" s="2" t="str">
        <f t="shared" si="0"/>
        <v>BarkotPremium</v>
      </c>
      <c r="D53" s="1"/>
      <c r="E53" s="67" t="s">
        <v>103</v>
      </c>
      <c r="F53" s="43" t="str">
        <f t="shared" si="1"/>
        <v>Premium</v>
      </c>
      <c r="G53" s="45">
        <v>3500</v>
      </c>
      <c r="H53" s="45"/>
      <c r="I53" s="45">
        <v>5000</v>
      </c>
      <c r="J53" s="8">
        <v>5000</v>
      </c>
      <c r="K53" s="45"/>
      <c r="L53" s="45">
        <v>7000</v>
      </c>
      <c r="M53" s="45"/>
      <c r="N53" s="45"/>
      <c r="O53" s="1"/>
    </row>
    <row r="54" spans="2:15" x14ac:dyDescent="0.3">
      <c r="B54" s="7" t="s">
        <v>441</v>
      </c>
      <c r="C54" s="2" t="str">
        <f t="shared" si="0"/>
        <v>BarkotBudget</v>
      </c>
      <c r="D54" s="1"/>
      <c r="E54" s="67" t="s">
        <v>496</v>
      </c>
      <c r="F54" s="43" t="str">
        <f t="shared" si="1"/>
        <v>Budget</v>
      </c>
      <c r="G54" s="45">
        <v>1600</v>
      </c>
      <c r="H54" s="45"/>
      <c r="I54" s="45">
        <v>2200</v>
      </c>
      <c r="J54" s="8">
        <v>2000</v>
      </c>
      <c r="K54" s="45"/>
      <c r="L54" s="45">
        <v>3000</v>
      </c>
      <c r="M54" s="45">
        <v>2800</v>
      </c>
      <c r="N54" s="45"/>
      <c r="O54" s="45">
        <v>4000</v>
      </c>
    </row>
    <row r="55" spans="2:15" x14ac:dyDescent="0.3">
      <c r="B55" s="7" t="s">
        <v>173</v>
      </c>
      <c r="C55" s="2" t="str">
        <f t="shared" si="0"/>
        <v>SitapurStandard</v>
      </c>
      <c r="D55" s="1"/>
      <c r="E55" s="67" t="s">
        <v>497</v>
      </c>
      <c r="F55" s="43" t="str">
        <f t="shared" si="1"/>
        <v>Standard</v>
      </c>
      <c r="G55" s="45">
        <v>2500</v>
      </c>
      <c r="H55" s="45">
        <v>2900</v>
      </c>
      <c r="I55" s="45">
        <v>3200</v>
      </c>
      <c r="J55" s="8">
        <v>3000</v>
      </c>
      <c r="K55" s="45">
        <v>3600</v>
      </c>
      <c r="L55" s="45">
        <v>3900</v>
      </c>
      <c r="M55" s="45">
        <v>3600</v>
      </c>
      <c r="N55" s="45">
        <v>4400</v>
      </c>
      <c r="O55" s="45">
        <v>4800</v>
      </c>
    </row>
    <row r="56" spans="2:15" x14ac:dyDescent="0.3">
      <c r="B56" s="7" t="s">
        <v>105</v>
      </c>
      <c r="C56" s="2" t="str">
        <f t="shared" si="0"/>
        <v>BadarinathPremium</v>
      </c>
      <c r="D56" s="1"/>
      <c r="E56" s="67" t="s">
        <v>498</v>
      </c>
      <c r="F56" s="43" t="str">
        <f t="shared" si="1"/>
        <v>Premium</v>
      </c>
      <c r="G56" s="45">
        <v>4000</v>
      </c>
      <c r="H56" s="45">
        <v>4400</v>
      </c>
      <c r="I56" s="45">
        <v>4600</v>
      </c>
      <c r="J56" s="8">
        <v>3600</v>
      </c>
      <c r="K56" s="45">
        <v>4500</v>
      </c>
      <c r="L56" s="45">
        <v>4800</v>
      </c>
      <c r="M56" s="45">
        <v>4800</v>
      </c>
      <c r="N56" s="45">
        <v>6000</v>
      </c>
      <c r="O56" s="45">
        <v>6400</v>
      </c>
    </row>
    <row r="57" spans="2:15" x14ac:dyDescent="0.3">
      <c r="B57" s="7" t="s">
        <v>173</v>
      </c>
      <c r="C57" s="2" t="str">
        <f t="shared" si="0"/>
        <v>SitapurBudget</v>
      </c>
      <c r="D57" s="1"/>
      <c r="E57" s="67" t="s">
        <v>499</v>
      </c>
      <c r="F57" s="43" t="str">
        <f t="shared" si="1"/>
        <v>Budget</v>
      </c>
      <c r="G57" s="45">
        <v>2000</v>
      </c>
      <c r="H57" s="45"/>
      <c r="I57" s="45">
        <v>2500</v>
      </c>
      <c r="J57" s="8">
        <v>2500</v>
      </c>
      <c r="K57" s="45"/>
      <c r="L57" s="45">
        <v>3200</v>
      </c>
      <c r="M57" s="45">
        <v>3000</v>
      </c>
      <c r="N57" s="45"/>
      <c r="O57" s="45">
        <v>4000</v>
      </c>
    </row>
    <row r="58" spans="2:15" x14ac:dyDescent="0.3">
      <c r="B58" s="7" t="s">
        <v>184</v>
      </c>
      <c r="C58" s="2" t="str">
        <f t="shared" si="0"/>
        <v>PipalkotiStandard</v>
      </c>
      <c r="D58" s="1"/>
      <c r="E58" s="67" t="s">
        <v>576</v>
      </c>
      <c r="F58" s="43" t="str">
        <f t="shared" si="1"/>
        <v>Standard</v>
      </c>
      <c r="G58" s="45">
        <v>2500</v>
      </c>
      <c r="H58" s="45"/>
      <c r="I58" s="45">
        <v>3200</v>
      </c>
      <c r="J58" s="8">
        <v>3200</v>
      </c>
      <c r="K58" s="45"/>
      <c r="L58" s="45">
        <v>4250</v>
      </c>
      <c r="M58" s="45">
        <v>3600</v>
      </c>
      <c r="N58" s="45"/>
      <c r="O58" s="45">
        <v>5000</v>
      </c>
    </row>
    <row r="59" spans="2:15" x14ac:dyDescent="0.3">
      <c r="B59" s="7" t="s">
        <v>184</v>
      </c>
      <c r="C59" s="2" t="str">
        <f t="shared" ref="C59:C65" si="2">B59&amp;F59</f>
        <v>PipalkotiStandard</v>
      </c>
      <c r="D59" s="1"/>
      <c r="E59" s="74" t="s">
        <v>591</v>
      </c>
      <c r="F59" s="45" t="str">
        <f t="shared" ref="F59:F65" si="3">IF(I59&lt;=2500,"Budget",IF(I59&lt;=4000,"Standard","Premium"))</f>
        <v>Standard</v>
      </c>
      <c r="G59" s="45">
        <v>2000</v>
      </c>
      <c r="H59" s="45"/>
      <c r="I59" s="45">
        <v>2550</v>
      </c>
      <c r="J59" s="8">
        <v>2500</v>
      </c>
      <c r="K59" s="45"/>
      <c r="L59" s="45">
        <v>3050</v>
      </c>
      <c r="M59" s="45">
        <v>3000</v>
      </c>
      <c r="N59" s="45"/>
      <c r="O59" s="45">
        <v>3650</v>
      </c>
    </row>
    <row r="60" spans="2:15" x14ac:dyDescent="0.3">
      <c r="B60" s="7" t="s">
        <v>441</v>
      </c>
      <c r="C60" s="2" t="str">
        <f t="shared" si="2"/>
        <v>BarkotStandard</v>
      </c>
      <c r="D60" s="1"/>
      <c r="E60" s="74" t="s">
        <v>593</v>
      </c>
      <c r="F60" s="1" t="str">
        <f t="shared" si="3"/>
        <v>Standard</v>
      </c>
      <c r="G60" s="1">
        <v>2500</v>
      </c>
      <c r="H60" s="1">
        <v>2800</v>
      </c>
      <c r="I60" s="1">
        <v>3200</v>
      </c>
      <c r="J60" s="3">
        <v>3500</v>
      </c>
      <c r="K60" s="1">
        <v>3800</v>
      </c>
      <c r="L60" s="1">
        <v>4400</v>
      </c>
      <c r="M60" s="1"/>
      <c r="N60" s="1"/>
      <c r="O60" s="1"/>
    </row>
    <row r="61" spans="2:15" x14ac:dyDescent="0.3">
      <c r="B61" s="7" t="s">
        <v>153</v>
      </c>
      <c r="C61" s="2" t="str">
        <f t="shared" si="2"/>
        <v>KedarnathPremium</v>
      </c>
      <c r="D61" s="1"/>
      <c r="E61" s="67" t="s">
        <v>592</v>
      </c>
      <c r="F61" s="45" t="str">
        <f t="shared" si="3"/>
        <v>Premium</v>
      </c>
      <c r="G61" s="45">
        <v>5000</v>
      </c>
      <c r="H61" s="45"/>
      <c r="I61" s="45">
        <v>6000</v>
      </c>
      <c r="J61" s="8">
        <v>7500</v>
      </c>
      <c r="K61" s="45"/>
      <c r="L61" s="45">
        <v>9000</v>
      </c>
      <c r="M61" s="45">
        <v>10000</v>
      </c>
      <c r="N61" s="45"/>
      <c r="O61" s="45">
        <v>12000</v>
      </c>
    </row>
    <row r="62" spans="2:15" x14ac:dyDescent="0.3">
      <c r="B62" s="7" t="s">
        <v>105</v>
      </c>
      <c r="C62" s="2" t="str">
        <f t="shared" si="2"/>
        <v>BadarinathStandard</v>
      </c>
      <c r="D62" s="1"/>
      <c r="E62" s="67" t="s">
        <v>594</v>
      </c>
      <c r="F62" s="1" t="str">
        <f t="shared" si="3"/>
        <v>Standard</v>
      </c>
      <c r="G62" s="1">
        <v>3000</v>
      </c>
      <c r="H62" s="1">
        <v>3500</v>
      </c>
      <c r="I62" s="1">
        <v>4000</v>
      </c>
      <c r="J62" s="3">
        <v>4200</v>
      </c>
      <c r="K62" s="1">
        <v>5200</v>
      </c>
      <c r="L62" s="1">
        <v>5800</v>
      </c>
      <c r="M62" s="1">
        <v>6000</v>
      </c>
      <c r="N62" s="1">
        <v>7200</v>
      </c>
      <c r="O62" s="1">
        <v>7600</v>
      </c>
    </row>
    <row r="63" spans="2:15" x14ac:dyDescent="0.3">
      <c r="B63" s="7" t="s">
        <v>179</v>
      </c>
      <c r="C63" s="2" t="str">
        <f t="shared" si="2"/>
        <v>RudraprayagPremium</v>
      </c>
      <c r="D63" s="1"/>
      <c r="E63" s="67" t="s">
        <v>595</v>
      </c>
      <c r="F63" s="45" t="str">
        <f t="shared" si="3"/>
        <v>Premium</v>
      </c>
      <c r="G63" s="45">
        <v>3500</v>
      </c>
      <c r="H63" s="45">
        <v>4000</v>
      </c>
      <c r="I63" s="45">
        <v>4800</v>
      </c>
      <c r="J63" s="8"/>
      <c r="K63" s="45"/>
      <c r="L63" s="45"/>
      <c r="M63" s="45"/>
      <c r="N63" s="45"/>
      <c r="O63" s="45"/>
    </row>
    <row r="64" spans="2:15" x14ac:dyDescent="0.3">
      <c r="B64" s="7" t="s">
        <v>184</v>
      </c>
      <c r="C64" s="2" t="str">
        <f t="shared" si="2"/>
        <v>PipalkotiStandard</v>
      </c>
      <c r="D64" s="1"/>
      <c r="E64" s="67" t="s">
        <v>596</v>
      </c>
      <c r="F64" s="45" t="str">
        <f t="shared" si="3"/>
        <v>Standard</v>
      </c>
      <c r="G64" s="45"/>
      <c r="H64" s="45"/>
      <c r="I64" s="45">
        <v>3400</v>
      </c>
      <c r="J64" s="8"/>
      <c r="K64" s="45"/>
      <c r="L64" s="45">
        <v>4500</v>
      </c>
      <c r="M64" s="45"/>
      <c r="N64" s="45"/>
      <c r="O64" s="45">
        <v>5600</v>
      </c>
    </row>
    <row r="65" spans="2:15" x14ac:dyDescent="0.3">
      <c r="B65" s="7" t="s">
        <v>179</v>
      </c>
      <c r="C65" s="2" t="str">
        <f t="shared" si="2"/>
        <v>RudraprayagPremium</v>
      </c>
      <c r="D65" s="1"/>
      <c r="E65" s="67" t="s">
        <v>638</v>
      </c>
      <c r="F65" s="45" t="str">
        <f t="shared" si="3"/>
        <v>Premium</v>
      </c>
      <c r="G65" s="45">
        <v>4300</v>
      </c>
      <c r="H65" s="45">
        <v>5000</v>
      </c>
      <c r="I65" s="45">
        <v>6000</v>
      </c>
      <c r="J65" s="8">
        <v>5300</v>
      </c>
      <c r="K65" s="45">
        <v>6500</v>
      </c>
      <c r="L65" s="45">
        <v>8000</v>
      </c>
      <c r="M65" s="45">
        <v>8200</v>
      </c>
      <c r="N65" s="45">
        <v>9400</v>
      </c>
      <c r="O65" s="45">
        <v>11000</v>
      </c>
    </row>
    <row r="66" spans="2:15" x14ac:dyDescent="0.3">
      <c r="B66" s="7" t="s">
        <v>107</v>
      </c>
      <c r="C66" s="2" t="str">
        <f t="shared" ref="C66:C74" si="4">B66&amp;F66</f>
        <v>UttarkashiPremium</v>
      </c>
      <c r="D66" s="1"/>
      <c r="E66" s="67" t="s">
        <v>650</v>
      </c>
      <c r="F66" s="45" t="str">
        <f t="shared" ref="F66:F74" si="5">IF(I66&lt;=2500,"Budget",IF(I66&lt;=4000,"Standard","Premium"))</f>
        <v>Premium</v>
      </c>
      <c r="G66" s="45"/>
      <c r="H66" s="45">
        <v>7500</v>
      </c>
      <c r="I66" s="45">
        <v>8500</v>
      </c>
      <c r="J66" s="8"/>
      <c r="K66" s="45">
        <v>9000</v>
      </c>
      <c r="L66" s="45">
        <v>10500</v>
      </c>
      <c r="M66" s="45"/>
      <c r="N66" s="45">
        <v>10500</v>
      </c>
      <c r="O66" s="45">
        <v>13000</v>
      </c>
    </row>
    <row r="67" spans="2:15" x14ac:dyDescent="0.3">
      <c r="B67" s="7" t="s">
        <v>107</v>
      </c>
      <c r="C67" s="2" t="str">
        <f t="shared" si="4"/>
        <v>UttarkashiStandard</v>
      </c>
      <c r="D67" s="1"/>
      <c r="E67" s="67" t="s">
        <v>649</v>
      </c>
      <c r="F67" s="1" t="str">
        <f t="shared" si="5"/>
        <v>Standard</v>
      </c>
      <c r="G67" s="1"/>
      <c r="H67" s="1">
        <v>2850</v>
      </c>
      <c r="I67" s="1">
        <v>3650</v>
      </c>
      <c r="J67" s="3"/>
      <c r="K67" s="1">
        <v>4050</v>
      </c>
      <c r="L67" s="1">
        <v>5250</v>
      </c>
      <c r="M67" s="1"/>
      <c r="N67" s="1"/>
      <c r="O67" s="1"/>
    </row>
    <row r="68" spans="2:15" x14ac:dyDescent="0.3">
      <c r="B68" s="7" t="s">
        <v>107</v>
      </c>
      <c r="C68" s="2" t="str">
        <f t="shared" si="4"/>
        <v>UttarkashiStandard</v>
      </c>
      <c r="D68" s="1"/>
      <c r="E68" s="67" t="s">
        <v>669</v>
      </c>
      <c r="F68" s="45" t="str">
        <f t="shared" si="5"/>
        <v>Standard</v>
      </c>
      <c r="G68" s="45">
        <v>3000</v>
      </c>
      <c r="H68" s="45">
        <v>3400</v>
      </c>
      <c r="I68" s="45">
        <v>4000</v>
      </c>
      <c r="J68" s="8">
        <v>4000</v>
      </c>
      <c r="K68" s="45">
        <v>4600</v>
      </c>
      <c r="L68" s="45">
        <v>5500</v>
      </c>
      <c r="M68" s="45"/>
      <c r="N68" s="45"/>
      <c r="O68" s="45"/>
    </row>
    <row r="69" spans="2:15" x14ac:dyDescent="0.3">
      <c r="B69" s="7" t="s">
        <v>173</v>
      </c>
      <c r="C69" s="2" t="str">
        <f t="shared" si="4"/>
        <v>SitapurPremium</v>
      </c>
      <c r="D69" s="1"/>
      <c r="E69" s="67" t="s">
        <v>672</v>
      </c>
      <c r="F69" s="45" t="str">
        <f t="shared" si="5"/>
        <v>Premium</v>
      </c>
      <c r="G69" s="45">
        <v>3500</v>
      </c>
      <c r="H69" s="45">
        <v>3800</v>
      </c>
      <c r="I69" s="45">
        <v>4500</v>
      </c>
      <c r="J69" s="8">
        <v>5000</v>
      </c>
      <c r="K69" s="45">
        <v>5400</v>
      </c>
      <c r="L69" s="45">
        <v>6000</v>
      </c>
      <c r="M69" s="45">
        <v>6200</v>
      </c>
      <c r="N69" s="45">
        <v>6600</v>
      </c>
      <c r="O69" s="45">
        <v>7200</v>
      </c>
    </row>
    <row r="70" spans="2:15" x14ac:dyDescent="0.3">
      <c r="B70" s="7" t="s">
        <v>170</v>
      </c>
      <c r="C70" s="2" t="str">
        <f t="shared" si="4"/>
        <v>SonprayagPremium</v>
      </c>
      <c r="D70" s="1"/>
      <c r="E70" s="67" t="s">
        <v>673</v>
      </c>
      <c r="F70" s="45" t="str">
        <f t="shared" si="5"/>
        <v>Premium</v>
      </c>
      <c r="G70" s="45">
        <v>2500</v>
      </c>
      <c r="H70" s="45">
        <v>3600</v>
      </c>
      <c r="I70" s="45">
        <v>4500</v>
      </c>
      <c r="J70" s="8">
        <v>2800</v>
      </c>
      <c r="K70" s="45">
        <v>4000</v>
      </c>
      <c r="L70" s="45">
        <v>5000</v>
      </c>
      <c r="M70" s="45">
        <v>3200</v>
      </c>
      <c r="N70" s="45">
        <v>4600</v>
      </c>
      <c r="O70" s="45">
        <v>5800</v>
      </c>
    </row>
    <row r="71" spans="2:15" x14ac:dyDescent="0.3">
      <c r="B71" s="7" t="s">
        <v>173</v>
      </c>
      <c r="C71" s="2" t="str">
        <f t="shared" si="4"/>
        <v>SitapurPremium</v>
      </c>
      <c r="D71" s="1"/>
      <c r="E71" s="67" t="s">
        <v>674</v>
      </c>
      <c r="F71" s="45" t="str">
        <f t="shared" si="5"/>
        <v>Premium</v>
      </c>
      <c r="G71" s="45">
        <v>5200</v>
      </c>
      <c r="H71" s="45">
        <v>5800</v>
      </c>
      <c r="I71" s="45">
        <v>6600</v>
      </c>
      <c r="J71" s="8">
        <v>6500</v>
      </c>
      <c r="K71" s="45">
        <v>7400</v>
      </c>
      <c r="L71" s="45">
        <v>8600</v>
      </c>
      <c r="M71" s="45">
        <v>7800</v>
      </c>
      <c r="N71" s="45">
        <v>9000</v>
      </c>
      <c r="O71" s="45">
        <v>10600</v>
      </c>
    </row>
    <row r="72" spans="2:15" x14ac:dyDescent="0.3">
      <c r="B72" s="7" t="s">
        <v>170</v>
      </c>
      <c r="C72" s="2" t="str">
        <f t="shared" si="4"/>
        <v>SonprayagStandard</v>
      </c>
      <c r="D72" s="1"/>
      <c r="E72" s="67" t="s">
        <v>712</v>
      </c>
      <c r="F72" s="45" t="str">
        <f t="shared" si="5"/>
        <v>Standard</v>
      </c>
      <c r="G72" s="45">
        <v>2500</v>
      </c>
      <c r="H72" s="45"/>
      <c r="I72" s="45">
        <v>3000</v>
      </c>
      <c r="J72" s="8"/>
      <c r="K72" s="45"/>
      <c r="L72" s="45"/>
      <c r="M72" s="45">
        <v>4500</v>
      </c>
      <c r="N72" s="45"/>
      <c r="O72" s="45"/>
    </row>
    <row r="73" spans="2:15" x14ac:dyDescent="0.3">
      <c r="B73" s="7" t="s">
        <v>170</v>
      </c>
      <c r="C73" s="2" t="str">
        <f t="shared" si="4"/>
        <v>SonprayagStandard</v>
      </c>
      <c r="D73" s="1"/>
      <c r="E73" s="67" t="s">
        <v>717</v>
      </c>
      <c r="F73" s="45" t="str">
        <f t="shared" si="5"/>
        <v>Standard</v>
      </c>
      <c r="G73" s="45"/>
      <c r="H73" s="45"/>
      <c r="I73" s="45">
        <v>3200</v>
      </c>
      <c r="J73" s="8"/>
      <c r="K73" s="45"/>
      <c r="L73" s="45">
        <v>4000</v>
      </c>
      <c r="M73" s="45"/>
      <c r="N73" s="45"/>
      <c r="O73" s="45">
        <v>4800</v>
      </c>
    </row>
    <row r="74" spans="2:15" x14ac:dyDescent="0.3">
      <c r="B74" s="7" t="s">
        <v>173</v>
      </c>
      <c r="C74" s="2" t="str">
        <f t="shared" si="4"/>
        <v>SitapurStandard</v>
      </c>
      <c r="D74" s="1"/>
      <c r="E74" s="67" t="s">
        <v>722</v>
      </c>
      <c r="F74" s="45" t="str">
        <f t="shared" si="5"/>
        <v>Standard</v>
      </c>
      <c r="G74" s="45">
        <v>2000</v>
      </c>
      <c r="H74" s="45"/>
      <c r="I74" s="45">
        <v>2800</v>
      </c>
      <c r="J74" s="8">
        <v>2700</v>
      </c>
      <c r="K74" s="45"/>
      <c r="L74" s="45">
        <v>3600</v>
      </c>
      <c r="M74" s="45">
        <v>3200</v>
      </c>
      <c r="N74" s="45"/>
      <c r="O74" s="45">
        <v>4000</v>
      </c>
    </row>
    <row r="75" spans="2:15" x14ac:dyDescent="0.3">
      <c r="B75" s="7" t="s">
        <v>441</v>
      </c>
      <c r="C75" s="2" t="str">
        <f t="shared" ref="C75:C81" si="6">B75&amp;F75</f>
        <v>BarkotStandard</v>
      </c>
      <c r="D75" s="1"/>
      <c r="E75" s="67" t="s">
        <v>731</v>
      </c>
      <c r="F75" s="45" t="str">
        <f t="shared" ref="F75:F80" si="7">IF(I75&lt;=2500,"Budget",IF(I75&lt;=4000,"Standard","Premium"))</f>
        <v>Standard</v>
      </c>
      <c r="G75" s="45"/>
      <c r="H75" s="45"/>
      <c r="I75" s="45">
        <v>3000</v>
      </c>
      <c r="J75" s="8"/>
      <c r="K75" s="45"/>
      <c r="L75" s="45">
        <v>4000</v>
      </c>
      <c r="M75" s="45"/>
      <c r="N75" s="45"/>
      <c r="O75" s="45">
        <v>5000</v>
      </c>
    </row>
    <row r="76" spans="2:15" x14ac:dyDescent="0.3">
      <c r="B76" s="7" t="s">
        <v>153</v>
      </c>
      <c r="C76" s="2" t="str">
        <f t="shared" si="6"/>
        <v>KedarnathPremium</v>
      </c>
      <c r="D76" s="1"/>
      <c r="E76" s="67" t="s">
        <v>736</v>
      </c>
      <c r="F76" s="45" t="str">
        <f t="shared" si="7"/>
        <v>Premium</v>
      </c>
      <c r="G76" s="45">
        <v>5400</v>
      </c>
      <c r="H76" s="45"/>
      <c r="I76" s="45">
        <v>6000</v>
      </c>
      <c r="J76" s="8">
        <v>8100</v>
      </c>
      <c r="K76" s="45"/>
      <c r="L76" s="45">
        <v>9000</v>
      </c>
      <c r="M76" s="45">
        <v>10800</v>
      </c>
      <c r="N76" s="45"/>
      <c r="O76" s="45">
        <v>12000</v>
      </c>
    </row>
    <row r="77" spans="2:15" x14ac:dyDescent="0.3">
      <c r="B77" s="7" t="s">
        <v>739</v>
      </c>
      <c r="C77" s="2" t="str">
        <f t="shared" si="6"/>
        <v>GuptkashiBudget</v>
      </c>
      <c r="D77" s="1"/>
      <c r="E77" s="67" t="s">
        <v>737</v>
      </c>
      <c r="F77" s="45" t="str">
        <f t="shared" si="7"/>
        <v>Budget</v>
      </c>
      <c r="G77" s="45"/>
      <c r="H77" s="45"/>
      <c r="I77" s="45"/>
      <c r="J77" s="8"/>
      <c r="K77" s="45"/>
      <c r="L77" s="45">
        <v>3600</v>
      </c>
      <c r="M77" s="45"/>
      <c r="N77" s="45"/>
      <c r="O77" s="45"/>
    </row>
    <row r="78" spans="2:15" x14ac:dyDescent="0.3">
      <c r="B78" s="7" t="s">
        <v>441</v>
      </c>
      <c r="C78" s="2" t="str">
        <f t="shared" si="6"/>
        <v>BarkotStandard</v>
      </c>
      <c r="D78" s="1"/>
      <c r="E78" s="67" t="s">
        <v>738</v>
      </c>
      <c r="F78" s="45" t="str">
        <f t="shared" si="7"/>
        <v>Standard</v>
      </c>
      <c r="G78" s="45"/>
      <c r="H78" s="45"/>
      <c r="I78" s="45">
        <v>2800</v>
      </c>
      <c r="J78" s="8"/>
      <c r="K78" s="45"/>
      <c r="L78" s="45">
        <v>3300</v>
      </c>
      <c r="M78" s="45"/>
      <c r="N78" s="45"/>
      <c r="O78" s="45"/>
    </row>
    <row r="79" spans="2:15" x14ac:dyDescent="0.3">
      <c r="B79" s="7" t="s">
        <v>441</v>
      </c>
      <c r="C79" s="2" t="str">
        <f t="shared" si="6"/>
        <v>BarkotStandard</v>
      </c>
      <c r="D79" s="1"/>
      <c r="E79" s="67" t="s">
        <v>740</v>
      </c>
      <c r="F79" s="45" t="str">
        <f t="shared" si="7"/>
        <v>Standard</v>
      </c>
      <c r="G79" s="45"/>
      <c r="H79" s="45"/>
      <c r="I79" s="45">
        <v>2800</v>
      </c>
      <c r="J79" s="8"/>
      <c r="K79" s="45"/>
      <c r="L79" s="45">
        <v>3300</v>
      </c>
      <c r="M79" s="45"/>
      <c r="N79" s="45"/>
      <c r="O79" s="45"/>
    </row>
    <row r="80" spans="2:15" x14ac:dyDescent="0.3">
      <c r="B80" s="7" t="s">
        <v>153</v>
      </c>
      <c r="C80" s="2" t="str">
        <f t="shared" si="6"/>
        <v>KedarnathBudget</v>
      </c>
      <c r="D80" s="1"/>
      <c r="E80" s="67" t="s">
        <v>759</v>
      </c>
      <c r="F80" s="45" t="str">
        <f t="shared" si="7"/>
        <v>Budget</v>
      </c>
      <c r="G80" s="45"/>
      <c r="H80" s="45"/>
      <c r="I80" s="45"/>
      <c r="J80" s="8"/>
      <c r="K80" s="45"/>
      <c r="L80" s="45"/>
      <c r="M80" s="45"/>
      <c r="N80" s="45"/>
      <c r="O80" s="45"/>
    </row>
    <row r="81" spans="2:15" x14ac:dyDescent="0.3">
      <c r="B81" s="7" t="s">
        <v>950</v>
      </c>
      <c r="C81" s="2" t="str">
        <f t="shared" si="6"/>
        <v>ChoptaStandard</v>
      </c>
      <c r="D81" s="1"/>
      <c r="E81" s="67" t="s">
        <v>951</v>
      </c>
      <c r="F81" s="45" t="str">
        <f t="shared" ref="F81:F92" si="8">IF(I81&lt;=2500,"Budget",IF(I81&lt;=4000,"Standard","Premium"))</f>
        <v>Standard</v>
      </c>
      <c r="G81" s="45"/>
      <c r="H81" s="45"/>
      <c r="I81" s="45">
        <v>3200</v>
      </c>
      <c r="J81" s="8"/>
      <c r="K81" s="45"/>
      <c r="L81" s="45">
        <v>4800</v>
      </c>
      <c r="M81" s="45"/>
      <c r="N81" s="45"/>
      <c r="O81" s="45">
        <v>6400</v>
      </c>
    </row>
    <row r="82" spans="2:15" x14ac:dyDescent="0.3">
      <c r="B82" s="7" t="s">
        <v>959</v>
      </c>
      <c r="C82" s="2" t="str">
        <f t="shared" ref="C82:C92" si="9">B82&amp;F82</f>
        <v>JoshimathPremium</v>
      </c>
      <c r="D82" s="1"/>
      <c r="E82" s="67" t="s">
        <v>960</v>
      </c>
      <c r="F82" s="45" t="str">
        <f t="shared" si="8"/>
        <v>Premium</v>
      </c>
      <c r="G82" s="45">
        <v>6510</v>
      </c>
      <c r="H82" s="45">
        <v>7245</v>
      </c>
      <c r="I82" s="45">
        <v>10266</v>
      </c>
      <c r="J82" s="8"/>
      <c r="K82" s="45"/>
      <c r="L82" s="45"/>
      <c r="M82" s="45"/>
      <c r="N82" s="45"/>
      <c r="O82" s="45"/>
    </row>
    <row r="83" spans="2:15" x14ac:dyDescent="0.3">
      <c r="B83" s="78" t="s">
        <v>979</v>
      </c>
      <c r="C83" s="2" t="str">
        <f t="shared" si="9"/>
        <v>RishikeshPremium</v>
      </c>
      <c r="D83" s="1"/>
      <c r="E83" s="67" t="s">
        <v>980</v>
      </c>
      <c r="F83" s="45" t="str">
        <f t="shared" si="8"/>
        <v>Premium</v>
      </c>
      <c r="G83" s="45">
        <v>4500</v>
      </c>
      <c r="H83" s="45">
        <v>5000</v>
      </c>
      <c r="I83" s="45">
        <v>5500</v>
      </c>
      <c r="J83" s="8"/>
      <c r="K83" s="45"/>
      <c r="L83" s="45"/>
      <c r="M83" s="45"/>
      <c r="N83" s="45"/>
      <c r="O83" s="45"/>
    </row>
    <row r="84" spans="2:15" x14ac:dyDescent="0.3">
      <c r="B84" s="7" t="s">
        <v>950</v>
      </c>
      <c r="C84" s="2" t="str">
        <f t="shared" si="9"/>
        <v>ChoptaStandard</v>
      </c>
      <c r="D84" s="1"/>
      <c r="E84" s="67" t="s">
        <v>988</v>
      </c>
      <c r="F84" s="45" t="str">
        <f t="shared" si="8"/>
        <v>Standard</v>
      </c>
      <c r="G84" s="45"/>
      <c r="H84" s="45">
        <v>2400</v>
      </c>
      <c r="I84" s="45">
        <v>2800</v>
      </c>
      <c r="J84" s="8"/>
      <c r="K84" s="45">
        <v>3000</v>
      </c>
      <c r="L84" s="45">
        <v>3600</v>
      </c>
      <c r="M84" s="45"/>
      <c r="N84" s="45">
        <v>4000</v>
      </c>
      <c r="O84" s="45">
        <v>4800</v>
      </c>
    </row>
    <row r="85" spans="2:15" x14ac:dyDescent="0.3">
      <c r="B85" s="7" t="s">
        <v>997</v>
      </c>
      <c r="C85" s="2" t="str">
        <f t="shared" si="9"/>
        <v>HarsilPremium</v>
      </c>
      <c r="D85" s="1"/>
      <c r="E85" s="67" t="s">
        <v>1003</v>
      </c>
      <c r="F85" s="45" t="str">
        <f t="shared" si="8"/>
        <v>Premium</v>
      </c>
      <c r="G85" s="45">
        <v>5900</v>
      </c>
      <c r="H85" s="45">
        <v>6500</v>
      </c>
      <c r="I85" s="45">
        <v>7300</v>
      </c>
      <c r="J85" s="8">
        <v>6500</v>
      </c>
      <c r="K85" s="45">
        <v>7500</v>
      </c>
      <c r="L85" s="45">
        <v>8800</v>
      </c>
      <c r="M85" s="45"/>
      <c r="N85" s="45"/>
      <c r="O85" s="45"/>
    </row>
    <row r="86" spans="2:15" x14ac:dyDescent="0.3">
      <c r="B86" s="7" t="s">
        <v>997</v>
      </c>
      <c r="C86" s="2" t="str">
        <f t="shared" si="9"/>
        <v>HarsilPremium</v>
      </c>
      <c r="D86" s="1"/>
      <c r="E86" s="67" t="s">
        <v>1001</v>
      </c>
      <c r="F86" s="45" t="str">
        <f t="shared" si="8"/>
        <v>Premium</v>
      </c>
      <c r="G86" s="45">
        <v>7000</v>
      </c>
      <c r="H86" s="45">
        <v>8200</v>
      </c>
      <c r="I86" s="45">
        <v>9600</v>
      </c>
      <c r="J86" s="8">
        <v>8800</v>
      </c>
      <c r="K86" s="45">
        <v>10600</v>
      </c>
      <c r="L86" s="45">
        <v>12700</v>
      </c>
      <c r="M86" s="45"/>
      <c r="N86" s="45"/>
      <c r="O86" s="45"/>
    </row>
    <row r="87" spans="2:15" x14ac:dyDescent="0.3">
      <c r="B87" s="7" t="s">
        <v>997</v>
      </c>
      <c r="C87" s="2" t="str">
        <f t="shared" si="9"/>
        <v>HarsilPremium</v>
      </c>
      <c r="D87" s="1"/>
      <c r="E87" s="67" t="s">
        <v>1002</v>
      </c>
      <c r="F87" s="45" t="str">
        <f t="shared" si="8"/>
        <v>Premium</v>
      </c>
      <c r="G87" s="45">
        <v>5000</v>
      </c>
      <c r="H87" s="45">
        <v>6200</v>
      </c>
      <c r="I87" s="45">
        <v>7600</v>
      </c>
      <c r="J87" s="8">
        <v>6800</v>
      </c>
      <c r="K87" s="45">
        <v>8600</v>
      </c>
      <c r="L87" s="45">
        <v>10700</v>
      </c>
      <c r="M87" s="45">
        <v>11000</v>
      </c>
      <c r="N87" s="45">
        <v>13400</v>
      </c>
      <c r="O87" s="45">
        <v>16200</v>
      </c>
    </row>
    <row r="88" spans="2:15" x14ac:dyDescent="0.3">
      <c r="B88" s="7" t="s">
        <v>997</v>
      </c>
      <c r="C88" s="2" t="str">
        <f t="shared" si="9"/>
        <v>HarsilPremium</v>
      </c>
      <c r="D88" s="1"/>
      <c r="E88" s="67" t="s">
        <v>1004</v>
      </c>
      <c r="F88" s="45" t="str">
        <f t="shared" si="8"/>
        <v>Premium</v>
      </c>
      <c r="G88" s="45">
        <v>4800</v>
      </c>
      <c r="H88" s="45">
        <v>5400</v>
      </c>
      <c r="I88" s="45">
        <v>6200</v>
      </c>
      <c r="J88" s="8">
        <v>5400</v>
      </c>
      <c r="K88" s="45">
        <v>6400</v>
      </c>
      <c r="L88" s="45">
        <v>7700</v>
      </c>
      <c r="M88" s="45"/>
      <c r="N88" s="45"/>
      <c r="O88" s="45"/>
    </row>
    <row r="89" spans="2:15" ht="28.8" x14ac:dyDescent="0.3">
      <c r="B89" s="7" t="s">
        <v>1036</v>
      </c>
      <c r="C89" s="2" t="str">
        <f t="shared" si="9"/>
        <v>NetalaPremium</v>
      </c>
      <c r="D89" s="1"/>
      <c r="E89" s="67" t="s">
        <v>1037</v>
      </c>
      <c r="F89" s="45" t="str">
        <f t="shared" si="8"/>
        <v>Premium</v>
      </c>
      <c r="G89" s="45">
        <v>2800</v>
      </c>
      <c r="H89" s="45"/>
      <c r="I89" s="45">
        <v>4200</v>
      </c>
      <c r="J89" s="8">
        <f>RAW[[#This Row],[Double EP]]+1680</f>
        <v>4480</v>
      </c>
      <c r="K89" s="45"/>
      <c r="L89" s="45"/>
      <c r="M89" s="45"/>
      <c r="N89" s="45"/>
      <c r="O89" s="45"/>
    </row>
    <row r="90" spans="2:15" ht="28.8" x14ac:dyDescent="0.3">
      <c r="B90" s="7" t="s">
        <v>1036</v>
      </c>
      <c r="C90" s="2" t="str">
        <f t="shared" si="9"/>
        <v>NetalaPremium</v>
      </c>
      <c r="D90" s="1"/>
      <c r="E90" s="67" t="s">
        <v>1038</v>
      </c>
      <c r="F90" s="45" t="str">
        <f t="shared" si="8"/>
        <v>Premium</v>
      </c>
      <c r="G90" s="45">
        <v>4000</v>
      </c>
      <c r="H90" s="45"/>
      <c r="I90" s="45">
        <v>5100</v>
      </c>
      <c r="J90" s="8">
        <f>RAW[[#This Row],[Double EP]]+1344</f>
        <v>5344</v>
      </c>
      <c r="K90" s="45"/>
      <c r="L90" s="45"/>
      <c r="M90" s="45"/>
      <c r="N90" s="45"/>
      <c r="O90" s="45"/>
    </row>
    <row r="91" spans="2:15" ht="28.8" x14ac:dyDescent="0.3">
      <c r="B91" s="7" t="s">
        <v>1036</v>
      </c>
      <c r="C91" s="2" t="str">
        <f t="shared" si="9"/>
        <v>NetalaPremium</v>
      </c>
      <c r="D91" s="1"/>
      <c r="E91" s="67" t="s">
        <v>1039</v>
      </c>
      <c r="F91" s="45" t="str">
        <f t="shared" si="8"/>
        <v>Premium</v>
      </c>
      <c r="G91" s="45">
        <v>4500</v>
      </c>
      <c r="H91" s="45"/>
      <c r="I91" s="45">
        <v>5600</v>
      </c>
      <c r="J91" s="8">
        <f>RAW[[#This Row],[Double EP]]+1344</f>
        <v>5844</v>
      </c>
      <c r="K91" s="45"/>
      <c r="L91" s="45"/>
      <c r="M91" s="45"/>
      <c r="N91" s="45"/>
      <c r="O91" s="45"/>
    </row>
    <row r="92" spans="2:15" x14ac:dyDescent="0.3">
      <c r="B92" s="7" t="s">
        <v>997</v>
      </c>
      <c r="C92" s="2" t="str">
        <f t="shared" si="9"/>
        <v>HarsilPremium</v>
      </c>
      <c r="D92" s="1"/>
      <c r="E92" s="67" t="s">
        <v>1055</v>
      </c>
      <c r="F92" s="45" t="str">
        <f t="shared" si="8"/>
        <v>Premium</v>
      </c>
      <c r="G92" s="45"/>
      <c r="H92" s="45"/>
      <c r="I92" s="45">
        <v>4500</v>
      </c>
      <c r="J92" s="8"/>
      <c r="K92" s="45"/>
      <c r="L92" s="45">
        <v>5500</v>
      </c>
      <c r="M92" s="45"/>
      <c r="N92" s="45"/>
      <c r="O92" s="45"/>
    </row>
    <row r="93" spans="2:15" x14ac:dyDescent="0.3">
      <c r="B93" s="7" t="s">
        <v>173</v>
      </c>
      <c r="C93" s="2" t="str">
        <f t="shared" ref="C93:C101" si="10">B93&amp;F93</f>
        <v>SitapurPremium</v>
      </c>
      <c r="D93" s="1"/>
      <c r="E93" s="67" t="s">
        <v>1060</v>
      </c>
      <c r="F93" s="45" t="str">
        <f t="shared" ref="F93:F101" si="11">IF(I93&lt;=2500,"Budget",IF(I93&lt;=4000,"Standard","Premium"))</f>
        <v>Premium</v>
      </c>
      <c r="G93" s="45">
        <v>6600</v>
      </c>
      <c r="H93" s="45">
        <v>6500</v>
      </c>
      <c r="I93" s="45">
        <v>8500</v>
      </c>
      <c r="J93" s="8">
        <f>RAW[[#This Row],[Double EP]]+1000</f>
        <v>7600</v>
      </c>
      <c r="K93" s="45">
        <f>RAW[[#This Row],[Double CP]]+1250</f>
        <v>7750</v>
      </c>
      <c r="L93" s="45">
        <f>RAW[[#This Row],[Double MAP]]+1650</f>
        <v>10150</v>
      </c>
      <c r="M93" s="45"/>
      <c r="N93" s="45"/>
      <c r="O93" s="45"/>
    </row>
    <row r="94" spans="2:15" x14ac:dyDescent="0.3">
      <c r="B94" s="7" t="s">
        <v>173</v>
      </c>
      <c r="C94" s="2" t="str">
        <f t="shared" si="10"/>
        <v>SitapurPremium</v>
      </c>
      <c r="D94" s="1"/>
      <c r="E94" s="67" t="s">
        <v>1062</v>
      </c>
      <c r="F94" s="45" t="str">
        <f t="shared" si="11"/>
        <v>Premium</v>
      </c>
      <c r="G94" s="45">
        <v>7500</v>
      </c>
      <c r="H94" s="45">
        <v>8000</v>
      </c>
      <c r="I94" s="45">
        <v>8800</v>
      </c>
      <c r="J94" s="8">
        <f>RAW[[#This Row],[Double EP]]+1000</f>
        <v>8500</v>
      </c>
      <c r="K94" s="45">
        <f>RAW[[#This Row],[Double CP]]+1250</f>
        <v>9250</v>
      </c>
      <c r="L94" s="45">
        <f>RAW[[#This Row],[Double MAP]]+1650</f>
        <v>10450</v>
      </c>
      <c r="M94" s="45"/>
      <c r="N94" s="45"/>
      <c r="O94" s="45"/>
    </row>
    <row r="95" spans="2:15" x14ac:dyDescent="0.3">
      <c r="B95" s="7" t="s">
        <v>173</v>
      </c>
      <c r="C95" s="2" t="str">
        <f t="shared" si="10"/>
        <v>SitapurPremium</v>
      </c>
      <c r="D95" s="1"/>
      <c r="E95" s="67" t="s">
        <v>1063</v>
      </c>
      <c r="F95" s="45" t="str">
        <f t="shared" si="11"/>
        <v>Premium</v>
      </c>
      <c r="G95" s="45">
        <v>9200</v>
      </c>
      <c r="H95" s="45">
        <v>10200</v>
      </c>
      <c r="I95" s="45">
        <v>11800</v>
      </c>
      <c r="J95" s="8"/>
      <c r="K95" s="45"/>
      <c r="L95" s="45"/>
      <c r="M95" s="45">
        <v>9200</v>
      </c>
      <c r="N95" s="45">
        <v>10200</v>
      </c>
      <c r="O95" s="45">
        <v>11800</v>
      </c>
    </row>
    <row r="96" spans="2:15" ht="28.8" x14ac:dyDescent="0.3">
      <c r="B96" s="7" t="s">
        <v>173</v>
      </c>
      <c r="C96" s="2" t="str">
        <f t="shared" si="10"/>
        <v>SitapurPremium</v>
      </c>
      <c r="D96" s="1"/>
      <c r="E96" s="67" t="s">
        <v>1064</v>
      </c>
      <c r="F96" s="45" t="str">
        <f t="shared" si="11"/>
        <v>Premium</v>
      </c>
      <c r="G96" s="45">
        <v>16000</v>
      </c>
      <c r="H96" s="45">
        <v>16500</v>
      </c>
      <c r="I96" s="45">
        <v>17500</v>
      </c>
      <c r="J96" s="8">
        <f>RAW[[#This Row],[Double EP]]+1000</f>
        <v>17000</v>
      </c>
      <c r="K96" s="45">
        <f>RAW[[#This Row],[Double CP]]+1250</f>
        <v>17750</v>
      </c>
      <c r="L96" s="45">
        <f>RAW[[#This Row],[Double MAP]]+1650</f>
        <v>19150</v>
      </c>
      <c r="M96" s="45"/>
      <c r="N96" s="45"/>
      <c r="O96" s="45"/>
    </row>
    <row r="97" spans="2:15" x14ac:dyDescent="0.3">
      <c r="B97" s="7" t="s">
        <v>105</v>
      </c>
      <c r="C97" s="2" t="str">
        <f t="shared" si="10"/>
        <v>BadarinathPremium</v>
      </c>
      <c r="D97" s="1"/>
      <c r="E97" s="67" t="s">
        <v>1100</v>
      </c>
      <c r="F97" s="45" t="str">
        <f t="shared" si="11"/>
        <v>Premium</v>
      </c>
      <c r="G97" s="45"/>
      <c r="H97" s="45"/>
      <c r="I97" s="45">
        <v>5000</v>
      </c>
      <c r="J97" s="8"/>
      <c r="K97" s="45"/>
      <c r="L97" s="45">
        <v>6000</v>
      </c>
      <c r="M97" s="45"/>
      <c r="N97" s="45"/>
      <c r="O97" s="45">
        <v>8000</v>
      </c>
    </row>
    <row r="98" spans="2:15" x14ac:dyDescent="0.3">
      <c r="B98" s="7" t="s">
        <v>105</v>
      </c>
      <c r="C98" s="2" t="str">
        <f t="shared" si="10"/>
        <v>BadarinathPremium</v>
      </c>
      <c r="D98" s="1"/>
      <c r="E98" s="67" t="s">
        <v>1101</v>
      </c>
      <c r="F98" s="45" t="str">
        <f t="shared" si="11"/>
        <v>Premium</v>
      </c>
      <c r="G98" s="45"/>
      <c r="H98" s="45"/>
      <c r="I98" s="45">
        <v>4500</v>
      </c>
      <c r="J98" s="8"/>
      <c r="K98" s="45"/>
      <c r="L98" s="45">
        <v>5600</v>
      </c>
      <c r="M98" s="45"/>
      <c r="N98" s="45"/>
      <c r="O98" s="45">
        <v>6800</v>
      </c>
    </row>
    <row r="99" spans="2:15" x14ac:dyDescent="0.3">
      <c r="B99" s="7" t="s">
        <v>105</v>
      </c>
      <c r="C99" s="2" t="str">
        <f t="shared" si="10"/>
        <v>BadarinathPremium</v>
      </c>
      <c r="D99" s="1"/>
      <c r="E99" s="67" t="s">
        <v>1111</v>
      </c>
      <c r="F99" s="45" t="str">
        <f t="shared" si="11"/>
        <v>Premium</v>
      </c>
      <c r="G99" s="45">
        <v>5500</v>
      </c>
      <c r="H99" s="45">
        <v>6000</v>
      </c>
      <c r="I99" s="45">
        <v>6500</v>
      </c>
      <c r="J99" s="8">
        <v>6500</v>
      </c>
      <c r="K99" s="45">
        <v>7000</v>
      </c>
      <c r="L99" s="45">
        <v>7500</v>
      </c>
      <c r="M99" s="45"/>
      <c r="N99" s="45"/>
      <c r="O99" s="45"/>
    </row>
    <row r="100" spans="2:15" x14ac:dyDescent="0.3">
      <c r="B100" s="7" t="s">
        <v>959</v>
      </c>
      <c r="C100" s="2" t="str">
        <f t="shared" si="10"/>
        <v>JoshimathPremium</v>
      </c>
      <c r="D100" s="1"/>
      <c r="E100" s="67" t="s">
        <v>1112</v>
      </c>
      <c r="F100" s="45" t="str">
        <f t="shared" si="11"/>
        <v>Premium</v>
      </c>
      <c r="G100" s="45">
        <v>4200</v>
      </c>
      <c r="H100" s="45">
        <v>4500</v>
      </c>
      <c r="I100" s="45">
        <v>5200</v>
      </c>
      <c r="J100" s="8">
        <v>4700</v>
      </c>
      <c r="K100" s="45">
        <v>5200</v>
      </c>
      <c r="L100" s="45">
        <v>6200</v>
      </c>
      <c r="M100" s="45">
        <v>5200</v>
      </c>
      <c r="N100" s="45">
        <v>5800</v>
      </c>
      <c r="O100" s="45">
        <v>7800</v>
      </c>
    </row>
    <row r="101" spans="2:15" x14ac:dyDescent="0.3">
      <c r="B101" s="7" t="s">
        <v>959</v>
      </c>
      <c r="C101" s="2" t="str">
        <f t="shared" si="10"/>
        <v>JoshimathPremium</v>
      </c>
      <c r="D101" s="1"/>
      <c r="E101" s="67" t="s">
        <v>1113</v>
      </c>
      <c r="F101" s="1" t="str">
        <f t="shared" si="11"/>
        <v>Premium</v>
      </c>
      <c r="G101" s="1">
        <v>5800</v>
      </c>
      <c r="H101" s="1">
        <v>6000</v>
      </c>
      <c r="I101" s="1">
        <v>6200</v>
      </c>
      <c r="J101" s="3">
        <v>6200</v>
      </c>
      <c r="K101" s="1">
        <v>6800</v>
      </c>
      <c r="L101" s="1">
        <v>7500</v>
      </c>
      <c r="M101" s="1"/>
      <c r="N101" s="1"/>
      <c r="O101" s="1"/>
    </row>
    <row r="102" spans="2:15" x14ac:dyDescent="0.3">
      <c r="B102" s="7" t="s">
        <v>105</v>
      </c>
      <c r="C102" s="2" t="str">
        <f t="shared" ref="C102:C107" si="12">B102&amp;F102</f>
        <v>BadarinathPremium</v>
      </c>
      <c r="D102" s="1"/>
      <c r="E102" s="67" t="s">
        <v>1138</v>
      </c>
      <c r="F102" s="45" t="str">
        <f t="shared" ref="F102:F107" si="13">IF(I102&lt;=2500,"Budget",IF(I102&lt;=4000,"Standard","Premium"))</f>
        <v>Premium</v>
      </c>
      <c r="G102" s="45"/>
      <c r="H102" s="45"/>
      <c r="I102" s="45">
        <v>5500</v>
      </c>
      <c r="J102" s="8"/>
      <c r="K102" s="45"/>
      <c r="L102" s="45">
        <f>RAW[[#This Row],[Double MAP]]+1800</f>
        <v>7300</v>
      </c>
      <c r="M102" s="45"/>
      <c r="N102" s="45"/>
      <c r="O102" s="45"/>
    </row>
    <row r="103" spans="2:15" x14ac:dyDescent="0.3">
      <c r="B103" s="7" t="s">
        <v>105</v>
      </c>
      <c r="C103" s="2" t="str">
        <f t="shared" si="12"/>
        <v>BadarinathPremium</v>
      </c>
      <c r="D103" s="1"/>
      <c r="E103" s="67" t="s">
        <v>1139</v>
      </c>
      <c r="F103" s="45" t="str">
        <f t="shared" si="13"/>
        <v>Premium</v>
      </c>
      <c r="G103" s="45"/>
      <c r="H103" s="45"/>
      <c r="I103" s="45">
        <v>4500</v>
      </c>
      <c r="J103" s="8"/>
      <c r="K103" s="45"/>
      <c r="L103" s="45">
        <f>RAW[[#This Row],[Double MAP]]+1500</f>
        <v>6000</v>
      </c>
      <c r="M103" s="45"/>
      <c r="N103" s="45"/>
      <c r="O103" s="45"/>
    </row>
    <row r="104" spans="2:15" x14ac:dyDescent="0.3">
      <c r="B104" s="7" t="s">
        <v>105</v>
      </c>
      <c r="C104" s="2" t="str">
        <f t="shared" si="12"/>
        <v>BadarinathPremium</v>
      </c>
      <c r="D104" s="1"/>
      <c r="E104" s="67" t="s">
        <v>1140</v>
      </c>
      <c r="F104" s="45" t="str">
        <f t="shared" si="13"/>
        <v>Premium</v>
      </c>
      <c r="G104" s="45"/>
      <c r="H104" s="45"/>
      <c r="I104" s="45">
        <v>7500</v>
      </c>
      <c r="J104" s="8"/>
      <c r="K104" s="45"/>
      <c r="L104" s="45">
        <v>9500</v>
      </c>
      <c r="M104" s="45"/>
      <c r="N104" s="45"/>
      <c r="O104" s="45"/>
    </row>
    <row r="105" spans="2:15" x14ac:dyDescent="0.3">
      <c r="B105" s="7" t="s">
        <v>670</v>
      </c>
      <c r="C105" s="2" t="str">
        <f t="shared" si="12"/>
        <v>HaridwarBudget</v>
      </c>
      <c r="D105" s="1"/>
      <c r="E105" s="67" t="s">
        <v>1150</v>
      </c>
      <c r="F105" s="45" t="str">
        <f t="shared" si="13"/>
        <v>Budget</v>
      </c>
      <c r="G105" s="45">
        <v>1500</v>
      </c>
      <c r="H105" s="45">
        <v>1700</v>
      </c>
      <c r="I105" s="45">
        <v>2000</v>
      </c>
      <c r="J105" s="8">
        <f>RAW[[#This Row],[Double EP]]+350</f>
        <v>1850</v>
      </c>
      <c r="K105" s="45">
        <f>RAW[[#This Row],[Double CP]]+450</f>
        <v>2150</v>
      </c>
      <c r="L105" s="45">
        <f>RAW[[#This Row],[Double MAP]]+650</f>
        <v>2650</v>
      </c>
      <c r="M105" s="45"/>
      <c r="N105" s="45"/>
      <c r="O105" s="45"/>
    </row>
    <row r="106" spans="2:15" x14ac:dyDescent="0.3">
      <c r="B106" s="7" t="s">
        <v>670</v>
      </c>
      <c r="C106" s="2" t="str">
        <f t="shared" si="12"/>
        <v>HaridwarPremium</v>
      </c>
      <c r="D106" s="1"/>
      <c r="E106" s="67" t="s">
        <v>1166</v>
      </c>
      <c r="F106" s="45" t="str">
        <f t="shared" si="13"/>
        <v>Premium</v>
      </c>
      <c r="G106" s="45">
        <v>4000</v>
      </c>
      <c r="H106" s="45">
        <v>4500</v>
      </c>
      <c r="I106" s="45">
        <v>5000</v>
      </c>
      <c r="J106" s="8">
        <f>RAW[[#This Row],[Double EP]]+750</f>
        <v>4750</v>
      </c>
      <c r="K106" s="45">
        <f>RAW[[#This Row],[Double CP]]+900</f>
        <v>5400</v>
      </c>
      <c r="L106" s="45">
        <f>RAW[[#This Row],[Double MAP]]+1200</f>
        <v>6200</v>
      </c>
      <c r="M106" s="45"/>
      <c r="N106" s="45"/>
      <c r="O106" s="45"/>
    </row>
    <row r="107" spans="2:15" x14ac:dyDescent="0.3">
      <c r="B107" s="7" t="s">
        <v>670</v>
      </c>
      <c r="C107" s="2" t="str">
        <f t="shared" si="12"/>
        <v>HaridwarStandard</v>
      </c>
      <c r="D107" s="1"/>
      <c r="E107" s="67" t="s">
        <v>1174</v>
      </c>
      <c r="F107" s="45" t="str">
        <f t="shared" si="13"/>
        <v>Standard</v>
      </c>
      <c r="G107" s="45">
        <v>3000</v>
      </c>
      <c r="H107" s="45">
        <v>3500</v>
      </c>
      <c r="I107" s="45">
        <v>4000</v>
      </c>
      <c r="J107" s="8">
        <f>RAW[[#This Row],[Double EP]]+750</f>
        <v>3750</v>
      </c>
      <c r="K107" s="45">
        <f>RAW[[#This Row],[Double CP]]+900</f>
        <v>4400</v>
      </c>
      <c r="L107" s="45">
        <f>RAW[[#This Row],[Double MAP]]+1200</f>
        <v>5200</v>
      </c>
      <c r="M107" s="45"/>
      <c r="N107" s="45"/>
      <c r="O107" s="45"/>
    </row>
    <row r="108" spans="2:15" x14ac:dyDescent="0.3">
      <c r="B108" s="7" t="s">
        <v>179</v>
      </c>
      <c r="C108" s="2" t="str">
        <f t="shared" ref="C108:C113" si="14">B108&amp;F108</f>
        <v>RudraprayagStandard</v>
      </c>
      <c r="D108" s="1"/>
      <c r="E108" s="67" t="s">
        <v>1182</v>
      </c>
      <c r="F108" s="45" t="str">
        <f t="shared" ref="F108:F113" si="15">IF(I108&lt;=2500,"Budget",IF(I108&lt;=4000,"Standard","Premium"))</f>
        <v>Standard</v>
      </c>
      <c r="G108" s="45"/>
      <c r="H108" s="45"/>
      <c r="I108" s="45">
        <v>4000</v>
      </c>
      <c r="J108" s="8"/>
      <c r="K108" s="45"/>
      <c r="L108" s="45">
        <v>5050</v>
      </c>
      <c r="M108" s="45"/>
      <c r="N108" s="45"/>
      <c r="O108" s="45"/>
    </row>
    <row r="109" spans="2:15" x14ac:dyDescent="0.3">
      <c r="B109" s="7" t="s">
        <v>179</v>
      </c>
      <c r="C109" s="2" t="str">
        <f t="shared" si="14"/>
        <v>RudraprayagPremium</v>
      </c>
      <c r="D109" s="1"/>
      <c r="E109" s="67" t="s">
        <v>1183</v>
      </c>
      <c r="F109" s="1" t="str">
        <f t="shared" si="15"/>
        <v>Premium</v>
      </c>
      <c r="G109" s="1"/>
      <c r="H109" s="1"/>
      <c r="I109" s="1">
        <v>4500</v>
      </c>
      <c r="J109" s="3"/>
      <c r="K109" s="1"/>
      <c r="L109" s="1">
        <v>5600</v>
      </c>
      <c r="M109" s="1"/>
      <c r="N109" s="1"/>
      <c r="O109" s="1"/>
    </row>
    <row r="110" spans="2:15" x14ac:dyDescent="0.3">
      <c r="B110" s="7" t="s">
        <v>979</v>
      </c>
      <c r="C110" s="2" t="str">
        <f t="shared" si="14"/>
        <v>RishikeshPremium</v>
      </c>
      <c r="D110" s="1"/>
      <c r="E110" s="67" t="s">
        <v>1190</v>
      </c>
      <c r="F110" s="45" t="str">
        <f t="shared" si="15"/>
        <v>Premium</v>
      </c>
      <c r="G110" s="45"/>
      <c r="H110" s="45"/>
      <c r="I110" s="45">
        <v>5500</v>
      </c>
      <c r="J110" s="8"/>
      <c r="K110" s="45"/>
      <c r="L110" s="45"/>
      <c r="M110" s="45"/>
      <c r="N110" s="45"/>
      <c r="O110" s="45"/>
    </row>
    <row r="111" spans="2:15" x14ac:dyDescent="0.3">
      <c r="B111" s="7" t="s">
        <v>179</v>
      </c>
      <c r="C111" s="2" t="str">
        <f t="shared" si="14"/>
        <v>RudraprayagPremium</v>
      </c>
      <c r="D111" s="1"/>
      <c r="E111" s="67" t="s">
        <v>1194</v>
      </c>
      <c r="F111" s="45" t="str">
        <f t="shared" si="15"/>
        <v>Premium</v>
      </c>
      <c r="G111" s="45"/>
      <c r="H111" s="45"/>
      <c r="I111" s="45">
        <v>5000</v>
      </c>
      <c r="J111" s="8"/>
      <c r="K111" s="45"/>
      <c r="L111" s="45">
        <v>6200</v>
      </c>
      <c r="M111" s="45"/>
      <c r="N111" s="45"/>
      <c r="O111" s="45"/>
    </row>
    <row r="112" spans="2:15" x14ac:dyDescent="0.3">
      <c r="B112" s="7" t="s">
        <v>153</v>
      </c>
      <c r="C112" s="2" t="str">
        <f t="shared" si="14"/>
        <v>KedarnathPremium</v>
      </c>
      <c r="D112" s="1"/>
      <c r="E112" s="67" t="s">
        <v>1200</v>
      </c>
      <c r="F112" s="45" t="str">
        <f t="shared" si="15"/>
        <v>Premium</v>
      </c>
      <c r="G112" s="45">
        <v>4000</v>
      </c>
      <c r="H112" s="45"/>
      <c r="I112" s="45">
        <v>5000</v>
      </c>
      <c r="J112" s="8"/>
      <c r="K112" s="45"/>
      <c r="L112" s="45"/>
      <c r="M112" s="45"/>
      <c r="N112" s="45"/>
      <c r="O112" s="45"/>
    </row>
    <row r="113" spans="2:15" x14ac:dyDescent="0.3">
      <c r="B113" s="7" t="s">
        <v>173</v>
      </c>
      <c r="C113" s="2" t="str">
        <f t="shared" si="14"/>
        <v>SitapurStandard</v>
      </c>
      <c r="D113" s="1"/>
      <c r="E113" s="67" t="s">
        <v>1203</v>
      </c>
      <c r="F113" s="45" t="str">
        <f t="shared" si="15"/>
        <v>Standard</v>
      </c>
      <c r="G113" s="45"/>
      <c r="H113" s="45"/>
      <c r="I113" s="45">
        <v>3600</v>
      </c>
      <c r="J113" s="8"/>
      <c r="K113" s="45"/>
      <c r="L113" s="45">
        <v>4300</v>
      </c>
      <c r="M113" s="45"/>
      <c r="N113" s="45"/>
      <c r="O113" s="45">
        <v>4800</v>
      </c>
    </row>
    <row r="114" spans="2:15" ht="28.8" x14ac:dyDescent="0.3">
      <c r="B114" s="7" t="s">
        <v>105</v>
      </c>
      <c r="C114" s="2" t="str">
        <f>B114&amp;F114</f>
        <v>BadarinathPremium</v>
      </c>
      <c r="D114" s="1"/>
      <c r="E114" s="67" t="s">
        <v>1211</v>
      </c>
      <c r="F114" s="45" t="str">
        <f>IF(I114&lt;=2500,"Budget",IF(I114&lt;=4000,"Standard","Premium"))</f>
        <v>Premium</v>
      </c>
      <c r="G114" s="45">
        <v>8400</v>
      </c>
      <c r="H114" s="45">
        <v>9000</v>
      </c>
      <c r="I114" s="45">
        <v>9850</v>
      </c>
      <c r="J114" s="8">
        <f>RAW[[#This Row],[Double EP]]+2000</f>
        <v>10400</v>
      </c>
      <c r="K114" s="45">
        <f>RAW[[#This Row],[Double CP]]+2300</f>
        <v>11300</v>
      </c>
      <c r="L114" s="45">
        <f>RAW[[#This Row],[Double MAP]]+2700</f>
        <v>12550</v>
      </c>
      <c r="M114" s="45">
        <v>13850</v>
      </c>
      <c r="N114" s="45">
        <v>14400</v>
      </c>
      <c r="O114" s="45">
        <v>15250</v>
      </c>
    </row>
    <row r="115" spans="2:15" ht="28.8" x14ac:dyDescent="0.3">
      <c r="B115" s="7" t="s">
        <v>105</v>
      </c>
      <c r="C115" s="2" t="str">
        <f t="shared" ref="C115:C116" si="16">B115&amp;F115</f>
        <v>BadarinathPremium</v>
      </c>
      <c r="D115" s="1"/>
      <c r="E115" s="67" t="s">
        <v>1212</v>
      </c>
      <c r="F115" s="1" t="str">
        <f t="shared" ref="F115:F116" si="17">IF(I115&lt;=2500,"Budget",IF(I115&lt;=4000,"Standard","Premium"))</f>
        <v>Premium</v>
      </c>
      <c r="G115" s="1">
        <v>10400</v>
      </c>
      <c r="H115" s="1">
        <v>11000</v>
      </c>
      <c r="I115" s="1">
        <v>11900</v>
      </c>
      <c r="J115" s="8">
        <f>RAW[[#This Row],[Double EP]]+2000</f>
        <v>12400</v>
      </c>
      <c r="K115" s="45">
        <f>RAW[[#This Row],[Double CP]]+2300</f>
        <v>13300</v>
      </c>
      <c r="L115" s="45">
        <f>RAW[[#This Row],[Double MAP]]+2700</f>
        <v>14600</v>
      </c>
      <c r="M115" s="1">
        <v>15000</v>
      </c>
      <c r="N115" s="1">
        <v>15700</v>
      </c>
      <c r="O115" s="1">
        <v>16500</v>
      </c>
    </row>
    <row r="116" spans="2:15" x14ac:dyDescent="0.3">
      <c r="B116" s="7" t="s">
        <v>184</v>
      </c>
      <c r="C116" s="2" t="str">
        <f t="shared" si="16"/>
        <v>PipalkotiPremium</v>
      </c>
      <c r="D116" s="1"/>
      <c r="E116" s="67" t="s">
        <v>1240</v>
      </c>
      <c r="F116" s="1" t="str">
        <f t="shared" si="17"/>
        <v>Premium</v>
      </c>
      <c r="G116" s="1">
        <v>3150</v>
      </c>
      <c r="H116" s="1">
        <v>3600</v>
      </c>
      <c r="I116" s="1">
        <v>4400</v>
      </c>
      <c r="J116" s="3">
        <v>4000</v>
      </c>
      <c r="K116" s="1">
        <v>4800</v>
      </c>
      <c r="L116" s="1">
        <v>5400</v>
      </c>
      <c r="M116" s="1">
        <v>4400</v>
      </c>
      <c r="N116" s="1">
        <v>5400</v>
      </c>
      <c r="O116" s="1">
        <v>7000</v>
      </c>
    </row>
    <row r="117" spans="2:15" x14ac:dyDescent="0.3">
      <c r="B117" s="7" t="s">
        <v>105</v>
      </c>
      <c r="C117" s="2" t="str">
        <f>B117&amp;F117</f>
        <v>BadarinathPremium</v>
      </c>
      <c r="D117" s="1"/>
      <c r="E117" s="67" t="s">
        <v>1251</v>
      </c>
      <c r="F117" s="45" t="str">
        <f>IF(I117&lt;=2500,"Budget",IF(I117&lt;=4000,"Standard","Premium"))</f>
        <v>Premium</v>
      </c>
      <c r="G117" s="45">
        <v>5500</v>
      </c>
      <c r="H117" s="45">
        <v>6000</v>
      </c>
      <c r="I117" s="45">
        <v>6500</v>
      </c>
      <c r="J117" s="8">
        <v>6000</v>
      </c>
      <c r="K117" s="45">
        <v>6500</v>
      </c>
      <c r="L117" s="45">
        <v>7000</v>
      </c>
      <c r="M117" s="45">
        <v>6500</v>
      </c>
      <c r="N117" s="45">
        <v>7500</v>
      </c>
      <c r="O117" s="45">
        <v>8000</v>
      </c>
    </row>
    <row r="118" spans="2:15" x14ac:dyDescent="0.3">
      <c r="B118" s="7" t="s">
        <v>153</v>
      </c>
      <c r="C118" s="2" t="str">
        <f>B118&amp;F118</f>
        <v>KedarnathBudget</v>
      </c>
      <c r="D118" s="1"/>
      <c r="E118" s="67" t="s">
        <v>1262</v>
      </c>
      <c r="F118" s="45" t="str">
        <f>IF(I118&lt;=2500,"Budget",IF(I118&lt;=4000,"Standard","Premium"))</f>
        <v>Budget</v>
      </c>
      <c r="G118" s="45"/>
      <c r="H118" s="45"/>
      <c r="I118" s="45"/>
      <c r="J118" s="8">
        <v>7200</v>
      </c>
      <c r="K118" s="45"/>
      <c r="L118" s="45"/>
      <c r="M118" s="45"/>
      <c r="N118" s="45"/>
      <c r="O118" s="45"/>
    </row>
    <row r="119" spans="2:15" x14ac:dyDescent="0.3">
      <c r="B119" s="7" t="s">
        <v>184</v>
      </c>
      <c r="C119" s="2" t="str">
        <f>B119&amp;F119</f>
        <v>PipalkotiBudget</v>
      </c>
      <c r="D119" s="1"/>
      <c r="E119" s="67" t="s">
        <v>1267</v>
      </c>
      <c r="F119" s="45" t="str">
        <f>IF(I119&lt;=2500,"Budget",IF(I119&lt;=4000,"Standard","Premium"))</f>
        <v>Budget</v>
      </c>
      <c r="G119" s="45"/>
      <c r="H119" s="45"/>
      <c r="I119" s="45">
        <v>2200</v>
      </c>
      <c r="J119" s="8"/>
      <c r="K119" s="45"/>
      <c r="L119" s="45">
        <v>3400</v>
      </c>
      <c r="M119" s="45"/>
      <c r="N119" s="45"/>
      <c r="O119" s="45"/>
    </row>
    <row r="120" spans="2:15" x14ac:dyDescent="0.3">
      <c r="F120"/>
    </row>
    <row r="121" spans="2:15" x14ac:dyDescent="0.3">
      <c r="F121"/>
    </row>
    <row r="122" spans="2:15" x14ac:dyDescent="0.3">
      <c r="F122"/>
    </row>
    <row r="123" spans="2:15" x14ac:dyDescent="0.3">
      <c r="F123"/>
    </row>
    <row r="124" spans="2:15" x14ac:dyDescent="0.3">
      <c r="F124"/>
    </row>
    <row r="125" spans="2:15" x14ac:dyDescent="0.3">
      <c r="F125"/>
    </row>
    <row r="126" spans="2:15" x14ac:dyDescent="0.3">
      <c r="F126"/>
    </row>
    <row r="127" spans="2:15" x14ac:dyDescent="0.3">
      <c r="F127"/>
    </row>
    <row r="128" spans="2:15" x14ac:dyDescent="0.3">
      <c r="F128"/>
    </row>
    <row r="129" spans="6:6" x14ac:dyDescent="0.3">
      <c r="F129"/>
    </row>
    <row r="130" spans="6:6" x14ac:dyDescent="0.3">
      <c r="F130"/>
    </row>
    <row r="131" spans="6:6" x14ac:dyDescent="0.3">
      <c r="F131"/>
    </row>
    <row r="132" spans="6:6" x14ac:dyDescent="0.3">
      <c r="F132"/>
    </row>
    <row r="133" spans="6:6" x14ac:dyDescent="0.3">
      <c r="F133"/>
    </row>
    <row r="134" spans="6:6" x14ac:dyDescent="0.3">
      <c r="F134"/>
    </row>
    <row r="135" spans="6:6" x14ac:dyDescent="0.3">
      <c r="F135"/>
    </row>
    <row r="136" spans="6:6" x14ac:dyDescent="0.3">
      <c r="F136"/>
    </row>
    <row r="137" spans="6:6" x14ac:dyDescent="0.3">
      <c r="F137"/>
    </row>
    <row r="138" spans="6:6" x14ac:dyDescent="0.3">
      <c r="F138"/>
    </row>
    <row r="139" spans="6:6" x14ac:dyDescent="0.3">
      <c r="F139"/>
    </row>
    <row r="140" spans="6:6" x14ac:dyDescent="0.3">
      <c r="F140"/>
    </row>
    <row r="141" spans="6:6" x14ac:dyDescent="0.3">
      <c r="F141"/>
    </row>
    <row r="142" spans="6:6" x14ac:dyDescent="0.3">
      <c r="F142"/>
    </row>
    <row r="143" spans="6:6" x14ac:dyDescent="0.3">
      <c r="F143"/>
    </row>
    <row r="144" spans="6:6" x14ac:dyDescent="0.3">
      <c r="F144"/>
    </row>
    <row r="145" spans="6:6" x14ac:dyDescent="0.3">
      <c r="F145"/>
    </row>
    <row r="146" spans="6:6" x14ac:dyDescent="0.3">
      <c r="F146"/>
    </row>
    <row r="147" spans="6:6" x14ac:dyDescent="0.3">
      <c r="F147"/>
    </row>
    <row r="148" spans="6:6" x14ac:dyDescent="0.3">
      <c r="F148"/>
    </row>
    <row r="149" spans="6:6" x14ac:dyDescent="0.3">
      <c r="F149"/>
    </row>
    <row r="150" spans="6:6" x14ac:dyDescent="0.3">
      <c r="F150"/>
    </row>
    <row r="151" spans="6:6" x14ac:dyDescent="0.3">
      <c r="F151"/>
    </row>
    <row r="152" spans="6:6" x14ac:dyDescent="0.3">
      <c r="F152"/>
    </row>
    <row r="153" spans="6:6" x14ac:dyDescent="0.3">
      <c r="F153"/>
    </row>
    <row r="154" spans="6:6" x14ac:dyDescent="0.3">
      <c r="F154"/>
    </row>
    <row r="155" spans="6:6" x14ac:dyDescent="0.3">
      <c r="F155"/>
    </row>
    <row r="156" spans="6:6" x14ac:dyDescent="0.3">
      <c r="F156"/>
    </row>
    <row r="157" spans="6:6" x14ac:dyDescent="0.3">
      <c r="F157"/>
    </row>
    <row r="158" spans="6:6" x14ac:dyDescent="0.3">
      <c r="F158"/>
    </row>
    <row r="159" spans="6:6" x14ac:dyDescent="0.3">
      <c r="F159"/>
    </row>
    <row r="160" spans="6:6" x14ac:dyDescent="0.3">
      <c r="F160"/>
    </row>
    <row r="161" spans="6:6" x14ac:dyDescent="0.3">
      <c r="F161"/>
    </row>
    <row r="162" spans="6:6" x14ac:dyDescent="0.3">
      <c r="F162"/>
    </row>
    <row r="163" spans="6:6" x14ac:dyDescent="0.3">
      <c r="F163"/>
    </row>
    <row r="164" spans="6:6" x14ac:dyDescent="0.3">
      <c r="F164"/>
    </row>
    <row r="165" spans="6:6" x14ac:dyDescent="0.3">
      <c r="F165"/>
    </row>
    <row r="166" spans="6:6" x14ac:dyDescent="0.3">
      <c r="F166"/>
    </row>
    <row r="167" spans="6:6" x14ac:dyDescent="0.3">
      <c r="F167"/>
    </row>
    <row r="168" spans="6:6" x14ac:dyDescent="0.3">
      <c r="F168"/>
    </row>
    <row r="169" spans="6:6" x14ac:dyDescent="0.3">
      <c r="F169"/>
    </row>
    <row r="170" spans="6:6" x14ac:dyDescent="0.3">
      <c r="F170"/>
    </row>
    <row r="171" spans="6:6" x14ac:dyDescent="0.3">
      <c r="F171"/>
    </row>
    <row r="172" spans="6:6" x14ac:dyDescent="0.3">
      <c r="F172"/>
    </row>
    <row r="173" spans="6:6" x14ac:dyDescent="0.3">
      <c r="F173"/>
    </row>
    <row r="174" spans="6:6" x14ac:dyDescent="0.3">
      <c r="F174"/>
    </row>
    <row r="175" spans="6:6" x14ac:dyDescent="0.3">
      <c r="F175"/>
    </row>
    <row r="176" spans="6:6" x14ac:dyDescent="0.3">
      <c r="F176"/>
    </row>
    <row r="177" spans="6:6" x14ac:dyDescent="0.3">
      <c r="F177"/>
    </row>
    <row r="178" spans="6:6" x14ac:dyDescent="0.3">
      <c r="F178"/>
    </row>
    <row r="179" spans="6:6" x14ac:dyDescent="0.3">
      <c r="F179"/>
    </row>
    <row r="180" spans="6:6" x14ac:dyDescent="0.3">
      <c r="F180"/>
    </row>
    <row r="181" spans="6:6" x14ac:dyDescent="0.3">
      <c r="F181"/>
    </row>
    <row r="182" spans="6:6" x14ac:dyDescent="0.3">
      <c r="F182"/>
    </row>
    <row r="183" spans="6:6" x14ac:dyDescent="0.3">
      <c r="F183"/>
    </row>
    <row r="184" spans="6:6" x14ac:dyDescent="0.3">
      <c r="F184"/>
    </row>
    <row r="185" spans="6:6" x14ac:dyDescent="0.3">
      <c r="F185"/>
    </row>
    <row r="186" spans="6:6" x14ac:dyDescent="0.3">
      <c r="F186"/>
    </row>
    <row r="187" spans="6:6" x14ac:dyDescent="0.3">
      <c r="F187"/>
    </row>
    <row r="188" spans="6:6" x14ac:dyDescent="0.3">
      <c r="F188"/>
    </row>
    <row r="189" spans="6:6" x14ac:dyDescent="0.3">
      <c r="F189"/>
    </row>
    <row r="190" spans="6:6" x14ac:dyDescent="0.3">
      <c r="F190"/>
    </row>
    <row r="191" spans="6:6" x14ac:dyDescent="0.3">
      <c r="F191"/>
    </row>
    <row r="192" spans="6:6" x14ac:dyDescent="0.3">
      <c r="F192"/>
    </row>
    <row r="193" spans="6:6" x14ac:dyDescent="0.3">
      <c r="F193"/>
    </row>
    <row r="194" spans="6:6" x14ac:dyDescent="0.3">
      <c r="F194"/>
    </row>
    <row r="195" spans="6:6" x14ac:dyDescent="0.3">
      <c r="F195"/>
    </row>
    <row r="196" spans="6:6" x14ac:dyDescent="0.3">
      <c r="F196"/>
    </row>
    <row r="197" spans="6:6" x14ac:dyDescent="0.3">
      <c r="F197"/>
    </row>
    <row r="198" spans="6:6" x14ac:dyDescent="0.3">
      <c r="F198"/>
    </row>
    <row r="199" spans="6:6" x14ac:dyDescent="0.3">
      <c r="F199"/>
    </row>
    <row r="200" spans="6:6" x14ac:dyDescent="0.3">
      <c r="F200"/>
    </row>
    <row r="201" spans="6:6" x14ac:dyDescent="0.3">
      <c r="F201"/>
    </row>
    <row r="202" spans="6:6" x14ac:dyDescent="0.3">
      <c r="F202"/>
    </row>
    <row r="203" spans="6:6" x14ac:dyDescent="0.3">
      <c r="F203"/>
    </row>
    <row r="204" spans="6:6" x14ac:dyDescent="0.3">
      <c r="F204"/>
    </row>
    <row r="205" spans="6:6" x14ac:dyDescent="0.3">
      <c r="F205"/>
    </row>
    <row r="206" spans="6:6" x14ac:dyDescent="0.3">
      <c r="F206"/>
    </row>
    <row r="207" spans="6:6" x14ac:dyDescent="0.3">
      <c r="F207"/>
    </row>
    <row r="208" spans="6:6" x14ac:dyDescent="0.3">
      <c r="F208"/>
    </row>
    <row r="209" spans="6:6" x14ac:dyDescent="0.3">
      <c r="F209"/>
    </row>
    <row r="210" spans="6:6" x14ac:dyDescent="0.3">
      <c r="F210"/>
    </row>
    <row r="211" spans="6:6" x14ac:dyDescent="0.3">
      <c r="F211"/>
    </row>
    <row r="212" spans="6:6" x14ac:dyDescent="0.3">
      <c r="F212"/>
    </row>
    <row r="213" spans="6:6" x14ac:dyDescent="0.3">
      <c r="F213"/>
    </row>
    <row r="214" spans="6:6" x14ac:dyDescent="0.3">
      <c r="F214"/>
    </row>
    <row r="215" spans="6:6" x14ac:dyDescent="0.3">
      <c r="F215"/>
    </row>
    <row r="216" spans="6:6" x14ac:dyDescent="0.3">
      <c r="F216"/>
    </row>
    <row r="217" spans="6:6" x14ac:dyDescent="0.3">
      <c r="F217"/>
    </row>
    <row r="218" spans="6:6" x14ac:dyDescent="0.3">
      <c r="F218"/>
    </row>
    <row r="219" spans="6:6" x14ac:dyDescent="0.3">
      <c r="F219"/>
    </row>
    <row r="220" spans="6:6" x14ac:dyDescent="0.3">
      <c r="F220"/>
    </row>
    <row r="221" spans="6:6" x14ac:dyDescent="0.3">
      <c r="F221"/>
    </row>
    <row r="222" spans="6:6" x14ac:dyDescent="0.3">
      <c r="F222"/>
    </row>
    <row r="223" spans="6:6" x14ac:dyDescent="0.3">
      <c r="F223"/>
    </row>
    <row r="224" spans="6:6" x14ac:dyDescent="0.3">
      <c r="F224"/>
    </row>
    <row r="225" spans="6:6" x14ac:dyDescent="0.3">
      <c r="F225"/>
    </row>
    <row r="226" spans="6:6" x14ac:dyDescent="0.3">
      <c r="F226"/>
    </row>
    <row r="227" spans="6:6" x14ac:dyDescent="0.3">
      <c r="F227"/>
    </row>
    <row r="228" spans="6:6" x14ac:dyDescent="0.3">
      <c r="F228"/>
    </row>
    <row r="229" spans="6:6" x14ac:dyDescent="0.3">
      <c r="F229"/>
    </row>
    <row r="230" spans="6:6" x14ac:dyDescent="0.3">
      <c r="F230"/>
    </row>
    <row r="231" spans="6:6" x14ac:dyDescent="0.3">
      <c r="F231"/>
    </row>
    <row r="232" spans="6:6" x14ac:dyDescent="0.3">
      <c r="F232"/>
    </row>
    <row r="233" spans="6:6" x14ac:dyDescent="0.3">
      <c r="F233"/>
    </row>
    <row r="234" spans="6:6" x14ac:dyDescent="0.3">
      <c r="F234"/>
    </row>
    <row r="235" spans="6:6" x14ac:dyDescent="0.3">
      <c r="F235"/>
    </row>
    <row r="236" spans="6:6" x14ac:dyDescent="0.3">
      <c r="F236"/>
    </row>
    <row r="237" spans="6:6" x14ac:dyDescent="0.3">
      <c r="F237"/>
    </row>
    <row r="238" spans="6:6" x14ac:dyDescent="0.3">
      <c r="F238"/>
    </row>
    <row r="239" spans="6:6" x14ac:dyDescent="0.3">
      <c r="F239"/>
    </row>
    <row r="240" spans="6:6" x14ac:dyDescent="0.3">
      <c r="F240"/>
    </row>
    <row r="241" spans="6:6" x14ac:dyDescent="0.3">
      <c r="F241"/>
    </row>
    <row r="242" spans="6:6" x14ac:dyDescent="0.3">
      <c r="F242"/>
    </row>
    <row r="243" spans="6:6" x14ac:dyDescent="0.3">
      <c r="F243"/>
    </row>
    <row r="244" spans="6:6" x14ac:dyDescent="0.3">
      <c r="F244"/>
    </row>
    <row r="245" spans="6:6" x14ac:dyDescent="0.3">
      <c r="F245"/>
    </row>
    <row r="246" spans="6:6" x14ac:dyDescent="0.3">
      <c r="F246"/>
    </row>
    <row r="247" spans="6:6" x14ac:dyDescent="0.3">
      <c r="F247"/>
    </row>
    <row r="248" spans="6:6" x14ac:dyDescent="0.3">
      <c r="F248"/>
    </row>
    <row r="249" spans="6:6" x14ac:dyDescent="0.3">
      <c r="F249"/>
    </row>
    <row r="250" spans="6:6" x14ac:dyDescent="0.3">
      <c r="F250"/>
    </row>
    <row r="251" spans="6:6" x14ac:dyDescent="0.3">
      <c r="F251"/>
    </row>
    <row r="252" spans="6:6" x14ac:dyDescent="0.3">
      <c r="F252"/>
    </row>
    <row r="253" spans="6:6" x14ac:dyDescent="0.3">
      <c r="F253"/>
    </row>
    <row r="254" spans="6:6" x14ac:dyDescent="0.3">
      <c r="F254"/>
    </row>
    <row r="255" spans="6:6" x14ac:dyDescent="0.3">
      <c r="F255"/>
    </row>
    <row r="256" spans="6:6" x14ac:dyDescent="0.3">
      <c r="F256"/>
    </row>
    <row r="257" spans="6:6" x14ac:dyDescent="0.3">
      <c r="F257"/>
    </row>
    <row r="258" spans="6:6" x14ac:dyDescent="0.3">
      <c r="F258"/>
    </row>
    <row r="259" spans="6:6" x14ac:dyDescent="0.3">
      <c r="F259"/>
    </row>
    <row r="260" spans="6:6" x14ac:dyDescent="0.3">
      <c r="F260"/>
    </row>
    <row r="261" spans="6:6" x14ac:dyDescent="0.3">
      <c r="F261"/>
    </row>
    <row r="262" spans="6:6" x14ac:dyDescent="0.3">
      <c r="F262"/>
    </row>
    <row r="263" spans="6:6" x14ac:dyDescent="0.3">
      <c r="F263"/>
    </row>
    <row r="264" spans="6:6" x14ac:dyDescent="0.3">
      <c r="F264"/>
    </row>
    <row r="265" spans="6:6" x14ac:dyDescent="0.3">
      <c r="F265"/>
    </row>
    <row r="266" spans="6:6" x14ac:dyDescent="0.3">
      <c r="F266"/>
    </row>
    <row r="267" spans="6:6" x14ac:dyDescent="0.3">
      <c r="F267"/>
    </row>
    <row r="268" spans="6:6" x14ac:dyDescent="0.3">
      <c r="F268"/>
    </row>
    <row r="269" spans="6:6" x14ac:dyDescent="0.3">
      <c r="F269"/>
    </row>
    <row r="270" spans="6:6" x14ac:dyDescent="0.3">
      <c r="F270"/>
    </row>
    <row r="271" spans="6:6" x14ac:dyDescent="0.3">
      <c r="F271"/>
    </row>
    <row r="272" spans="6:6" x14ac:dyDescent="0.3">
      <c r="F272"/>
    </row>
    <row r="273" spans="6:6" x14ac:dyDescent="0.3">
      <c r="F273"/>
    </row>
    <row r="274" spans="6:6" x14ac:dyDescent="0.3">
      <c r="F274"/>
    </row>
    <row r="275" spans="6:6" x14ac:dyDescent="0.3">
      <c r="F275"/>
    </row>
    <row r="276" spans="6:6" x14ac:dyDescent="0.3">
      <c r="F276"/>
    </row>
    <row r="277" spans="6:6" x14ac:dyDescent="0.3">
      <c r="F277"/>
    </row>
    <row r="278" spans="6:6" x14ac:dyDescent="0.3">
      <c r="F278"/>
    </row>
    <row r="279" spans="6:6" x14ac:dyDescent="0.3">
      <c r="F279"/>
    </row>
    <row r="280" spans="6:6" x14ac:dyDescent="0.3">
      <c r="F280"/>
    </row>
    <row r="281" spans="6:6" x14ac:dyDescent="0.3">
      <c r="F281"/>
    </row>
    <row r="282" spans="6:6" x14ac:dyDescent="0.3">
      <c r="F282"/>
    </row>
    <row r="283" spans="6:6" x14ac:dyDescent="0.3">
      <c r="F283"/>
    </row>
    <row r="284" spans="6:6" x14ac:dyDescent="0.3">
      <c r="F284"/>
    </row>
    <row r="285" spans="6:6" x14ac:dyDescent="0.3">
      <c r="F285"/>
    </row>
    <row r="286" spans="6:6" x14ac:dyDescent="0.3">
      <c r="F286"/>
    </row>
    <row r="287" spans="6:6" x14ac:dyDescent="0.3">
      <c r="F287"/>
    </row>
    <row r="288" spans="6:6" x14ac:dyDescent="0.3">
      <c r="F288"/>
    </row>
    <row r="289" spans="6:6" x14ac:dyDescent="0.3">
      <c r="F289"/>
    </row>
    <row r="290" spans="6:6" x14ac:dyDescent="0.3">
      <c r="F290"/>
    </row>
    <row r="291" spans="6:6" x14ac:dyDescent="0.3">
      <c r="F291"/>
    </row>
    <row r="292" spans="6:6" x14ac:dyDescent="0.3">
      <c r="F292"/>
    </row>
    <row r="293" spans="6:6" x14ac:dyDescent="0.3">
      <c r="F293"/>
    </row>
    <row r="294" spans="6:6" x14ac:dyDescent="0.3">
      <c r="F294"/>
    </row>
    <row r="295" spans="6:6" x14ac:dyDescent="0.3">
      <c r="F295"/>
    </row>
    <row r="296" spans="6:6" x14ac:dyDescent="0.3">
      <c r="F296"/>
    </row>
    <row r="297" spans="6:6" x14ac:dyDescent="0.3">
      <c r="F297"/>
    </row>
    <row r="298" spans="6:6" x14ac:dyDescent="0.3">
      <c r="F298"/>
    </row>
    <row r="299" spans="6:6" x14ac:dyDescent="0.3">
      <c r="F299"/>
    </row>
    <row r="300" spans="6:6" x14ac:dyDescent="0.3">
      <c r="F300"/>
    </row>
    <row r="301" spans="6:6" x14ac:dyDescent="0.3">
      <c r="F301"/>
    </row>
    <row r="302" spans="6:6" x14ac:dyDescent="0.3">
      <c r="F302"/>
    </row>
    <row r="303" spans="6:6" x14ac:dyDescent="0.3">
      <c r="F303"/>
    </row>
    <row r="304" spans="6:6" x14ac:dyDescent="0.3">
      <c r="F304"/>
    </row>
    <row r="305" spans="6:6" x14ac:dyDescent="0.3">
      <c r="F305"/>
    </row>
    <row r="306" spans="6:6" x14ac:dyDescent="0.3">
      <c r="F306"/>
    </row>
    <row r="307" spans="6:6" x14ac:dyDescent="0.3">
      <c r="F307"/>
    </row>
    <row r="308" spans="6:6" x14ac:dyDescent="0.3">
      <c r="F308"/>
    </row>
    <row r="309" spans="6:6" x14ac:dyDescent="0.3">
      <c r="F309"/>
    </row>
    <row r="310" spans="6:6" x14ac:dyDescent="0.3">
      <c r="F310"/>
    </row>
    <row r="311" spans="6:6" x14ac:dyDescent="0.3">
      <c r="F311"/>
    </row>
    <row r="312" spans="6:6" x14ac:dyDescent="0.3">
      <c r="F312"/>
    </row>
    <row r="313" spans="6:6" x14ac:dyDescent="0.3">
      <c r="F313"/>
    </row>
    <row r="314" spans="6:6" x14ac:dyDescent="0.3">
      <c r="F314"/>
    </row>
    <row r="315" spans="6:6" x14ac:dyDescent="0.3">
      <c r="F315"/>
    </row>
    <row r="316" spans="6:6" x14ac:dyDescent="0.3">
      <c r="F316"/>
    </row>
    <row r="317" spans="6:6" x14ac:dyDescent="0.3">
      <c r="F317"/>
    </row>
    <row r="318" spans="6:6" x14ac:dyDescent="0.3">
      <c r="F318"/>
    </row>
    <row r="319" spans="6:6" x14ac:dyDescent="0.3">
      <c r="F319"/>
    </row>
    <row r="320" spans="6:6" x14ac:dyDescent="0.3">
      <c r="F320"/>
    </row>
    <row r="321" spans="6:6" x14ac:dyDescent="0.3">
      <c r="F321"/>
    </row>
    <row r="322" spans="6:6" x14ac:dyDescent="0.3">
      <c r="F322"/>
    </row>
    <row r="323" spans="6:6" x14ac:dyDescent="0.3">
      <c r="F323"/>
    </row>
    <row r="324" spans="6:6" x14ac:dyDescent="0.3">
      <c r="F324"/>
    </row>
    <row r="325" spans="6:6" x14ac:dyDescent="0.3">
      <c r="F325"/>
    </row>
    <row r="326" spans="6:6" x14ac:dyDescent="0.3">
      <c r="F326"/>
    </row>
    <row r="327" spans="6:6" x14ac:dyDescent="0.3">
      <c r="F327"/>
    </row>
    <row r="328" spans="6:6" x14ac:dyDescent="0.3">
      <c r="F328"/>
    </row>
    <row r="329" spans="6:6" x14ac:dyDescent="0.3">
      <c r="F329"/>
    </row>
    <row r="330" spans="6:6" x14ac:dyDescent="0.3">
      <c r="F330"/>
    </row>
    <row r="331" spans="6:6" x14ac:dyDescent="0.3">
      <c r="F331"/>
    </row>
    <row r="332" spans="6:6" x14ac:dyDescent="0.3">
      <c r="F332"/>
    </row>
    <row r="333" spans="6:6" x14ac:dyDescent="0.3">
      <c r="F333"/>
    </row>
    <row r="334" spans="6:6" x14ac:dyDescent="0.3">
      <c r="F334"/>
    </row>
    <row r="335" spans="6:6" x14ac:dyDescent="0.3">
      <c r="F335"/>
    </row>
    <row r="336" spans="6:6" x14ac:dyDescent="0.3">
      <c r="F336"/>
    </row>
    <row r="337" spans="6:6" x14ac:dyDescent="0.3">
      <c r="F337"/>
    </row>
    <row r="338" spans="6:6" x14ac:dyDescent="0.3">
      <c r="F338"/>
    </row>
    <row r="339" spans="6:6" x14ac:dyDescent="0.3">
      <c r="F339"/>
    </row>
    <row r="340" spans="6:6" x14ac:dyDescent="0.3">
      <c r="F340"/>
    </row>
    <row r="341" spans="6:6" x14ac:dyDescent="0.3">
      <c r="F341"/>
    </row>
    <row r="342" spans="6:6" x14ac:dyDescent="0.3">
      <c r="F342"/>
    </row>
    <row r="343" spans="6:6" x14ac:dyDescent="0.3">
      <c r="F343"/>
    </row>
    <row r="344" spans="6:6" x14ac:dyDescent="0.3">
      <c r="F344"/>
    </row>
    <row r="345" spans="6:6" x14ac:dyDescent="0.3">
      <c r="F345"/>
    </row>
    <row r="346" spans="6:6" x14ac:dyDescent="0.3">
      <c r="F346"/>
    </row>
    <row r="347" spans="6:6" x14ac:dyDescent="0.3">
      <c r="F347"/>
    </row>
    <row r="348" spans="6:6" x14ac:dyDescent="0.3">
      <c r="F348"/>
    </row>
    <row r="349" spans="6:6" x14ac:dyDescent="0.3">
      <c r="F349"/>
    </row>
    <row r="350" spans="6:6" x14ac:dyDescent="0.3">
      <c r="F350"/>
    </row>
    <row r="351" spans="6:6" x14ac:dyDescent="0.3">
      <c r="F351"/>
    </row>
    <row r="352" spans="6:6" x14ac:dyDescent="0.3">
      <c r="F352"/>
    </row>
    <row r="353" spans="6:6" x14ac:dyDescent="0.3">
      <c r="F353"/>
    </row>
    <row r="354" spans="6:6" x14ac:dyDescent="0.3">
      <c r="F354"/>
    </row>
    <row r="355" spans="6:6" x14ac:dyDescent="0.3">
      <c r="F355"/>
    </row>
    <row r="356" spans="6:6" x14ac:dyDescent="0.3">
      <c r="F356"/>
    </row>
    <row r="357" spans="6:6" x14ac:dyDescent="0.3">
      <c r="F357"/>
    </row>
    <row r="358" spans="6:6" x14ac:dyDescent="0.3">
      <c r="F358"/>
    </row>
    <row r="359" spans="6:6" x14ac:dyDescent="0.3">
      <c r="F359"/>
    </row>
    <row r="360" spans="6:6" x14ac:dyDescent="0.3">
      <c r="F360"/>
    </row>
    <row r="361" spans="6:6" x14ac:dyDescent="0.3">
      <c r="F361"/>
    </row>
    <row r="362" spans="6:6" x14ac:dyDescent="0.3">
      <c r="F362"/>
    </row>
    <row r="363" spans="6:6" x14ac:dyDescent="0.3">
      <c r="F363"/>
    </row>
    <row r="364" spans="6:6" x14ac:dyDescent="0.3">
      <c r="F364"/>
    </row>
    <row r="365" spans="6:6" x14ac:dyDescent="0.3">
      <c r="F365"/>
    </row>
    <row r="366" spans="6:6" x14ac:dyDescent="0.3">
      <c r="F366"/>
    </row>
    <row r="367" spans="6:6" x14ac:dyDescent="0.3">
      <c r="F367"/>
    </row>
    <row r="368" spans="6:6" x14ac:dyDescent="0.3">
      <c r="F368"/>
    </row>
    <row r="369" spans="6:6" x14ac:dyDescent="0.3">
      <c r="F369"/>
    </row>
    <row r="370" spans="6:6" x14ac:dyDescent="0.3">
      <c r="F370"/>
    </row>
    <row r="371" spans="6:6" x14ac:dyDescent="0.3">
      <c r="F371"/>
    </row>
    <row r="372" spans="6:6" x14ac:dyDescent="0.3">
      <c r="F372"/>
    </row>
    <row r="373" spans="6:6" x14ac:dyDescent="0.3">
      <c r="F373"/>
    </row>
    <row r="374" spans="6:6" x14ac:dyDescent="0.3">
      <c r="F374"/>
    </row>
    <row r="375" spans="6:6" x14ac:dyDescent="0.3">
      <c r="F375"/>
    </row>
    <row r="376" spans="6:6" x14ac:dyDescent="0.3">
      <c r="F376"/>
    </row>
    <row r="377" spans="6:6" x14ac:dyDescent="0.3">
      <c r="F377"/>
    </row>
    <row r="378" spans="6:6" x14ac:dyDescent="0.3">
      <c r="F378"/>
    </row>
    <row r="379" spans="6:6" x14ac:dyDescent="0.3">
      <c r="F379"/>
    </row>
    <row r="380" spans="6:6" x14ac:dyDescent="0.3">
      <c r="F380"/>
    </row>
    <row r="381" spans="6:6" x14ac:dyDescent="0.3">
      <c r="F381"/>
    </row>
    <row r="382" spans="6:6" x14ac:dyDescent="0.3">
      <c r="F382"/>
    </row>
    <row r="383" spans="6:6" x14ac:dyDescent="0.3">
      <c r="F383"/>
    </row>
    <row r="384" spans="6:6" x14ac:dyDescent="0.3">
      <c r="F384"/>
    </row>
    <row r="385" spans="6:6" x14ac:dyDescent="0.3">
      <c r="F385"/>
    </row>
    <row r="386" spans="6:6" x14ac:dyDescent="0.3">
      <c r="F386"/>
    </row>
    <row r="387" spans="6:6" x14ac:dyDescent="0.3">
      <c r="F387"/>
    </row>
    <row r="388" spans="6:6" x14ac:dyDescent="0.3">
      <c r="F388"/>
    </row>
    <row r="389" spans="6:6" x14ac:dyDescent="0.3">
      <c r="F389"/>
    </row>
    <row r="390" spans="6:6" x14ac:dyDescent="0.3">
      <c r="F390"/>
    </row>
    <row r="391" spans="6:6" x14ac:dyDescent="0.3">
      <c r="F391"/>
    </row>
    <row r="392" spans="6:6" x14ac:dyDescent="0.3">
      <c r="F392"/>
    </row>
    <row r="393" spans="6:6" x14ac:dyDescent="0.3">
      <c r="F393"/>
    </row>
    <row r="394" spans="6:6" x14ac:dyDescent="0.3">
      <c r="F394"/>
    </row>
    <row r="395" spans="6:6" x14ac:dyDescent="0.3">
      <c r="F395"/>
    </row>
    <row r="396" spans="6:6" x14ac:dyDescent="0.3">
      <c r="F396"/>
    </row>
    <row r="397" spans="6:6" x14ac:dyDescent="0.3">
      <c r="F397"/>
    </row>
    <row r="398" spans="6:6" x14ac:dyDescent="0.3">
      <c r="F398"/>
    </row>
    <row r="399" spans="6:6" x14ac:dyDescent="0.3">
      <c r="F399"/>
    </row>
    <row r="400" spans="6:6" x14ac:dyDescent="0.3">
      <c r="F400"/>
    </row>
    <row r="401" spans="6:6" x14ac:dyDescent="0.3">
      <c r="F401"/>
    </row>
    <row r="402" spans="6:6" x14ac:dyDescent="0.3">
      <c r="F402"/>
    </row>
    <row r="403" spans="6:6" x14ac:dyDescent="0.3">
      <c r="F403"/>
    </row>
    <row r="404" spans="6:6" x14ac:dyDescent="0.3">
      <c r="F404"/>
    </row>
    <row r="405" spans="6:6" x14ac:dyDescent="0.3">
      <c r="F405"/>
    </row>
    <row r="406" spans="6:6" x14ac:dyDescent="0.3">
      <c r="F406"/>
    </row>
    <row r="407" spans="6:6" x14ac:dyDescent="0.3">
      <c r="F407"/>
    </row>
    <row r="408" spans="6:6" x14ac:dyDescent="0.3">
      <c r="F408"/>
    </row>
    <row r="409" spans="6:6" x14ac:dyDescent="0.3">
      <c r="F409"/>
    </row>
    <row r="410" spans="6:6" x14ac:dyDescent="0.3">
      <c r="F410"/>
    </row>
    <row r="411" spans="6:6" x14ac:dyDescent="0.3">
      <c r="F411"/>
    </row>
    <row r="412" spans="6:6" x14ac:dyDescent="0.3">
      <c r="F412"/>
    </row>
    <row r="413" spans="6:6" x14ac:dyDescent="0.3">
      <c r="F413"/>
    </row>
    <row r="414" spans="6:6" x14ac:dyDescent="0.3">
      <c r="F414"/>
    </row>
    <row r="415" spans="6:6" x14ac:dyDescent="0.3">
      <c r="F415"/>
    </row>
    <row r="416" spans="6:6" x14ac:dyDescent="0.3">
      <c r="F416"/>
    </row>
    <row r="417" spans="6:6" x14ac:dyDescent="0.3">
      <c r="F417"/>
    </row>
    <row r="418" spans="6:6" x14ac:dyDescent="0.3">
      <c r="F418"/>
    </row>
    <row r="419" spans="6:6" x14ac:dyDescent="0.3">
      <c r="F419"/>
    </row>
    <row r="420" spans="6:6" x14ac:dyDescent="0.3">
      <c r="F420"/>
    </row>
    <row r="421" spans="6:6" x14ac:dyDescent="0.3">
      <c r="F421"/>
    </row>
    <row r="422" spans="6:6" x14ac:dyDescent="0.3">
      <c r="F422"/>
    </row>
    <row r="423" spans="6:6" x14ac:dyDescent="0.3">
      <c r="F423"/>
    </row>
    <row r="424" spans="6:6" x14ac:dyDescent="0.3">
      <c r="F424"/>
    </row>
    <row r="425" spans="6:6" x14ac:dyDescent="0.3">
      <c r="F425"/>
    </row>
    <row r="426" spans="6:6" x14ac:dyDescent="0.3">
      <c r="F426"/>
    </row>
    <row r="427" spans="6:6" x14ac:dyDescent="0.3">
      <c r="F427"/>
    </row>
    <row r="428" spans="6:6" x14ac:dyDescent="0.3">
      <c r="F428"/>
    </row>
    <row r="429" spans="6:6" x14ac:dyDescent="0.3">
      <c r="F429"/>
    </row>
    <row r="430" spans="6:6" x14ac:dyDescent="0.3">
      <c r="F430"/>
    </row>
    <row r="431" spans="6:6" x14ac:dyDescent="0.3">
      <c r="F431"/>
    </row>
    <row r="432" spans="6:6" x14ac:dyDescent="0.3">
      <c r="F432"/>
    </row>
    <row r="433" spans="6:6" x14ac:dyDescent="0.3">
      <c r="F433"/>
    </row>
    <row r="434" spans="6:6" x14ac:dyDescent="0.3">
      <c r="F434"/>
    </row>
    <row r="435" spans="6:6" x14ac:dyDescent="0.3">
      <c r="F435"/>
    </row>
    <row r="436" spans="6:6" x14ac:dyDescent="0.3">
      <c r="F436"/>
    </row>
    <row r="437" spans="6:6" x14ac:dyDescent="0.3">
      <c r="F437"/>
    </row>
    <row r="438" spans="6:6" x14ac:dyDescent="0.3">
      <c r="F438"/>
    </row>
    <row r="439" spans="6:6" x14ac:dyDescent="0.3">
      <c r="F439"/>
    </row>
    <row r="440" spans="6:6" x14ac:dyDescent="0.3">
      <c r="F440"/>
    </row>
    <row r="441" spans="6:6" x14ac:dyDescent="0.3">
      <c r="F441"/>
    </row>
    <row r="442" spans="6:6" x14ac:dyDescent="0.3">
      <c r="F442"/>
    </row>
    <row r="443" spans="6:6" x14ac:dyDescent="0.3">
      <c r="F443"/>
    </row>
    <row r="444" spans="6:6" x14ac:dyDescent="0.3">
      <c r="F444"/>
    </row>
    <row r="445" spans="6:6" x14ac:dyDescent="0.3">
      <c r="F445"/>
    </row>
    <row r="446" spans="6:6" x14ac:dyDescent="0.3">
      <c r="F446"/>
    </row>
    <row r="447" spans="6:6" x14ac:dyDescent="0.3">
      <c r="F447"/>
    </row>
    <row r="448" spans="6:6" x14ac:dyDescent="0.3">
      <c r="F448"/>
    </row>
    <row r="449" spans="6:6" x14ac:dyDescent="0.3">
      <c r="F449"/>
    </row>
    <row r="450" spans="6:6" x14ac:dyDescent="0.3">
      <c r="F450"/>
    </row>
    <row r="451" spans="6:6" x14ac:dyDescent="0.3">
      <c r="F451"/>
    </row>
    <row r="452" spans="6:6" x14ac:dyDescent="0.3">
      <c r="F452"/>
    </row>
    <row r="453" spans="6:6" x14ac:dyDescent="0.3">
      <c r="F453"/>
    </row>
    <row r="454" spans="6:6" x14ac:dyDescent="0.3">
      <c r="F454"/>
    </row>
    <row r="455" spans="6:6" x14ac:dyDescent="0.3">
      <c r="F455"/>
    </row>
    <row r="456" spans="6:6" x14ac:dyDescent="0.3">
      <c r="F456"/>
    </row>
    <row r="457" spans="6:6" x14ac:dyDescent="0.3">
      <c r="F457"/>
    </row>
    <row r="458" spans="6:6" x14ac:dyDescent="0.3">
      <c r="F458"/>
    </row>
    <row r="459" spans="6:6" x14ac:dyDescent="0.3">
      <c r="F459"/>
    </row>
    <row r="460" spans="6:6" x14ac:dyDescent="0.3">
      <c r="F460"/>
    </row>
    <row r="461" spans="6:6" x14ac:dyDescent="0.3">
      <c r="F461"/>
    </row>
    <row r="462" spans="6:6" x14ac:dyDescent="0.3">
      <c r="F462"/>
    </row>
    <row r="463" spans="6:6" x14ac:dyDescent="0.3">
      <c r="F463"/>
    </row>
    <row r="464" spans="6:6" x14ac:dyDescent="0.3">
      <c r="F464"/>
    </row>
    <row r="465" spans="6:6" x14ac:dyDescent="0.3">
      <c r="F465"/>
    </row>
    <row r="466" spans="6:6" x14ac:dyDescent="0.3">
      <c r="F466"/>
    </row>
    <row r="467" spans="6:6" x14ac:dyDescent="0.3">
      <c r="F467"/>
    </row>
    <row r="468" spans="6:6" x14ac:dyDescent="0.3">
      <c r="F468"/>
    </row>
    <row r="469" spans="6:6" x14ac:dyDescent="0.3">
      <c r="F469"/>
    </row>
    <row r="470" spans="6:6" x14ac:dyDescent="0.3">
      <c r="F470"/>
    </row>
    <row r="471" spans="6:6" x14ac:dyDescent="0.3">
      <c r="F471"/>
    </row>
    <row r="472" spans="6:6" x14ac:dyDescent="0.3">
      <c r="F472"/>
    </row>
    <row r="473" spans="6:6" x14ac:dyDescent="0.3">
      <c r="F473"/>
    </row>
    <row r="474" spans="6:6" x14ac:dyDescent="0.3">
      <c r="F474"/>
    </row>
    <row r="475" spans="6:6" x14ac:dyDescent="0.3">
      <c r="F475"/>
    </row>
    <row r="476" spans="6:6" x14ac:dyDescent="0.3">
      <c r="F476"/>
    </row>
    <row r="477" spans="6:6" x14ac:dyDescent="0.3">
      <c r="F477"/>
    </row>
    <row r="478" spans="6:6" x14ac:dyDescent="0.3">
      <c r="F478"/>
    </row>
    <row r="479" spans="6:6" x14ac:dyDescent="0.3">
      <c r="F479"/>
    </row>
    <row r="480" spans="6:6" x14ac:dyDescent="0.3">
      <c r="F480"/>
    </row>
    <row r="481" spans="6:6" x14ac:dyDescent="0.3">
      <c r="F481"/>
    </row>
    <row r="482" spans="6:6" x14ac:dyDescent="0.3">
      <c r="F482"/>
    </row>
    <row r="483" spans="6:6" x14ac:dyDescent="0.3">
      <c r="F483"/>
    </row>
    <row r="484" spans="6:6" x14ac:dyDescent="0.3">
      <c r="F484"/>
    </row>
    <row r="485" spans="6:6" x14ac:dyDescent="0.3">
      <c r="F485"/>
    </row>
    <row r="486" spans="6:6" x14ac:dyDescent="0.3">
      <c r="F486"/>
    </row>
    <row r="487" spans="6:6" x14ac:dyDescent="0.3">
      <c r="F487"/>
    </row>
    <row r="488" spans="6:6" x14ac:dyDescent="0.3">
      <c r="F488"/>
    </row>
    <row r="489" spans="6:6" x14ac:dyDescent="0.3">
      <c r="F489"/>
    </row>
    <row r="490" spans="6:6" x14ac:dyDescent="0.3">
      <c r="F490"/>
    </row>
    <row r="491" spans="6:6" x14ac:dyDescent="0.3">
      <c r="F491"/>
    </row>
    <row r="492" spans="6:6" x14ac:dyDescent="0.3">
      <c r="F492"/>
    </row>
    <row r="493" spans="6:6" x14ac:dyDescent="0.3">
      <c r="F493"/>
    </row>
    <row r="494" spans="6:6" x14ac:dyDescent="0.3">
      <c r="F494"/>
    </row>
    <row r="495" spans="6:6" x14ac:dyDescent="0.3">
      <c r="F495"/>
    </row>
    <row r="496" spans="6:6" x14ac:dyDescent="0.3">
      <c r="F496"/>
    </row>
    <row r="497" spans="6:6" x14ac:dyDescent="0.3">
      <c r="F497"/>
    </row>
    <row r="498" spans="6:6" x14ac:dyDescent="0.3">
      <c r="F498"/>
    </row>
    <row r="499" spans="6:6" x14ac:dyDescent="0.3">
      <c r="F499"/>
    </row>
    <row r="500" spans="6:6" x14ac:dyDescent="0.3">
      <c r="F500"/>
    </row>
    <row r="501" spans="6:6" x14ac:dyDescent="0.3">
      <c r="F501"/>
    </row>
    <row r="502" spans="6:6" x14ac:dyDescent="0.3">
      <c r="F502"/>
    </row>
    <row r="503" spans="6:6" x14ac:dyDescent="0.3">
      <c r="F503"/>
    </row>
    <row r="504" spans="6:6" x14ac:dyDescent="0.3">
      <c r="F504"/>
    </row>
    <row r="505" spans="6:6" x14ac:dyDescent="0.3">
      <c r="F505"/>
    </row>
    <row r="506" spans="6:6" x14ac:dyDescent="0.3">
      <c r="F506"/>
    </row>
    <row r="507" spans="6:6" x14ac:dyDescent="0.3">
      <c r="F507"/>
    </row>
    <row r="508" spans="6:6" x14ac:dyDescent="0.3">
      <c r="F508"/>
    </row>
    <row r="509" spans="6:6" x14ac:dyDescent="0.3">
      <c r="F509"/>
    </row>
    <row r="510" spans="6:6" x14ac:dyDescent="0.3">
      <c r="F510"/>
    </row>
    <row r="511" spans="6:6" x14ac:dyDescent="0.3">
      <c r="F511"/>
    </row>
    <row r="512" spans="6:6" x14ac:dyDescent="0.3">
      <c r="F512"/>
    </row>
    <row r="513" spans="6:6" x14ac:dyDescent="0.3">
      <c r="F513"/>
    </row>
    <row r="514" spans="6:6" x14ac:dyDescent="0.3">
      <c r="F514"/>
    </row>
    <row r="515" spans="6:6" x14ac:dyDescent="0.3">
      <c r="F515"/>
    </row>
    <row r="516" spans="6:6" x14ac:dyDescent="0.3">
      <c r="F516"/>
    </row>
    <row r="517" spans="6:6" x14ac:dyDescent="0.3">
      <c r="F517"/>
    </row>
    <row r="518" spans="6:6" x14ac:dyDescent="0.3">
      <c r="F518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9635-44C0-413F-AE4A-B5C9565F3D69}">
  <sheetPr codeName="Sheet3"/>
  <dimension ref="A1:L751"/>
  <sheetViews>
    <sheetView showGridLines="0" workbookViewId="0">
      <selection activeCell="K3" sqref="K3"/>
    </sheetView>
  </sheetViews>
  <sheetFormatPr defaultRowHeight="14.4" x14ac:dyDescent="0.3"/>
  <cols>
    <col min="1" max="1" width="81.109375" bestFit="1" customWidth="1"/>
    <col min="2" max="2" width="22.5546875" bestFit="1" customWidth="1"/>
    <col min="3" max="3" width="44.5546875" bestFit="1" customWidth="1"/>
    <col min="4" max="4" width="81.109375" bestFit="1" customWidth="1"/>
    <col min="5" max="5" width="22.5546875" style="40" bestFit="1" customWidth="1"/>
    <col min="6" max="6" width="17.6640625" customWidth="1"/>
    <col min="7" max="7" width="20.5546875" bestFit="1" customWidth="1"/>
    <col min="8" max="8" width="17.6640625" bestFit="1" customWidth="1"/>
    <col min="9" max="9" width="11.6640625" bestFit="1" customWidth="1"/>
    <col min="10" max="10" width="20.33203125" bestFit="1" customWidth="1"/>
    <col min="11" max="11" width="13.5546875" bestFit="1" customWidth="1"/>
    <col min="12" max="12" width="10.44140625" bestFit="1" customWidth="1"/>
    <col min="13" max="13" width="10.6640625" bestFit="1" customWidth="1"/>
    <col min="14" max="14" width="12" bestFit="1" customWidth="1"/>
    <col min="15" max="15" width="10.5546875" bestFit="1" customWidth="1"/>
  </cols>
  <sheetData>
    <row r="1" spans="1:12" x14ac:dyDescent="0.3">
      <c r="A1" t="s">
        <v>41</v>
      </c>
      <c r="B1" t="s">
        <v>42</v>
      </c>
      <c r="D1" t="s">
        <v>41</v>
      </c>
      <c r="E1" s="40" t="s">
        <v>42</v>
      </c>
      <c r="G1" s="20" t="s">
        <v>43</v>
      </c>
      <c r="J1" s="22" t="s">
        <v>86</v>
      </c>
      <c r="K1" s="23" t="s">
        <v>670</v>
      </c>
      <c r="L1" s="70" t="s">
        <v>671</v>
      </c>
    </row>
    <row r="2" spans="1:12" x14ac:dyDescent="0.3">
      <c r="A2" t="s">
        <v>533</v>
      </c>
      <c r="B2" s="40" t="s">
        <v>114</v>
      </c>
      <c r="D2" t="s">
        <v>533</v>
      </c>
      <c r="E2" s="40" t="s">
        <v>114</v>
      </c>
      <c r="G2" s="21" t="s">
        <v>38</v>
      </c>
      <c r="J2" s="2" t="s">
        <v>79</v>
      </c>
      <c r="K2" s="3">
        <v>4000</v>
      </c>
      <c r="L2" s="3">
        <v>4200</v>
      </c>
    </row>
    <row r="3" spans="1:12" x14ac:dyDescent="0.3">
      <c r="A3" t="s">
        <v>534</v>
      </c>
      <c r="B3" s="40">
        <v>2000</v>
      </c>
      <c r="D3" t="s">
        <v>534</v>
      </c>
      <c r="E3" s="40">
        <v>2000</v>
      </c>
      <c r="G3" s="21" t="s">
        <v>40</v>
      </c>
      <c r="J3" s="2" t="s">
        <v>588</v>
      </c>
      <c r="K3" s="3">
        <v>5700</v>
      </c>
      <c r="L3" s="3">
        <v>6500</v>
      </c>
    </row>
    <row r="4" spans="1:12" x14ac:dyDescent="0.3">
      <c r="A4" t="s">
        <v>535</v>
      </c>
      <c r="B4" s="40">
        <v>2500</v>
      </c>
      <c r="D4" t="s">
        <v>535</v>
      </c>
      <c r="E4" s="40">
        <v>2500</v>
      </c>
      <c r="G4" s="21" t="s">
        <v>39</v>
      </c>
      <c r="J4" s="2" t="s">
        <v>102</v>
      </c>
      <c r="K4" s="3">
        <v>4800</v>
      </c>
      <c r="L4" s="3">
        <v>5300</v>
      </c>
    </row>
    <row r="5" spans="1:12" x14ac:dyDescent="0.3">
      <c r="A5" t="s">
        <v>536</v>
      </c>
      <c r="B5" s="40">
        <v>2500</v>
      </c>
      <c r="D5" t="s">
        <v>536</v>
      </c>
      <c r="E5" s="40">
        <v>2500</v>
      </c>
      <c r="G5" s="21" t="s">
        <v>1059</v>
      </c>
      <c r="J5" s="2" t="s">
        <v>80</v>
      </c>
      <c r="K5" s="3">
        <v>6500</v>
      </c>
      <c r="L5" s="3">
        <v>7000</v>
      </c>
    </row>
    <row r="6" spans="1:12" x14ac:dyDescent="0.3">
      <c r="A6" t="s">
        <v>537</v>
      </c>
      <c r="B6" s="40">
        <v>3500</v>
      </c>
      <c r="D6" t="s">
        <v>537</v>
      </c>
      <c r="E6" s="40">
        <v>3500</v>
      </c>
      <c r="J6" s="7" t="s">
        <v>81</v>
      </c>
      <c r="K6" s="8">
        <v>8000</v>
      </c>
      <c r="L6" s="3">
        <v>8500</v>
      </c>
    </row>
    <row r="7" spans="1:12" x14ac:dyDescent="0.3">
      <c r="A7" t="s">
        <v>538</v>
      </c>
      <c r="B7" s="40">
        <v>3500</v>
      </c>
      <c r="D7" t="s">
        <v>538</v>
      </c>
      <c r="E7" s="40">
        <v>3500</v>
      </c>
      <c r="J7" s="7" t="s">
        <v>1162</v>
      </c>
      <c r="K7" s="8">
        <v>10000</v>
      </c>
      <c r="L7" s="3">
        <v>9500</v>
      </c>
    </row>
    <row r="8" spans="1:12" x14ac:dyDescent="0.3">
      <c r="A8" t="s">
        <v>539</v>
      </c>
      <c r="B8" s="40">
        <v>5000</v>
      </c>
      <c r="D8" t="s">
        <v>539</v>
      </c>
      <c r="E8" s="40">
        <v>5000</v>
      </c>
      <c r="J8" s="7" t="s">
        <v>77</v>
      </c>
      <c r="K8" s="8">
        <v>10500</v>
      </c>
      <c r="L8" s="3">
        <v>11500</v>
      </c>
    </row>
    <row r="9" spans="1:12" x14ac:dyDescent="0.3">
      <c r="A9" t="s">
        <v>129</v>
      </c>
      <c r="B9" s="40" t="s">
        <v>114</v>
      </c>
      <c r="D9" t="s">
        <v>129</v>
      </c>
      <c r="E9" s="40" t="s">
        <v>114</v>
      </c>
      <c r="J9" s="2" t="s">
        <v>78</v>
      </c>
      <c r="K9" s="3">
        <v>13500</v>
      </c>
      <c r="L9" s="3">
        <v>12500</v>
      </c>
    </row>
    <row r="10" spans="1:12" x14ac:dyDescent="0.3">
      <c r="A10" t="s">
        <v>130</v>
      </c>
      <c r="B10" s="40" t="s">
        <v>114</v>
      </c>
      <c r="D10" t="s">
        <v>130</v>
      </c>
      <c r="E10" s="40" t="s">
        <v>114</v>
      </c>
      <c r="J10" s="2" t="s">
        <v>1163</v>
      </c>
      <c r="K10" s="3"/>
      <c r="L10" s="3">
        <v>11500</v>
      </c>
    </row>
    <row r="11" spans="1:12" x14ac:dyDescent="0.3">
      <c r="A11" t="s">
        <v>131</v>
      </c>
      <c r="B11" s="40" t="s">
        <v>115</v>
      </c>
      <c r="D11" t="s">
        <v>131</v>
      </c>
      <c r="E11" s="40" t="s">
        <v>115</v>
      </c>
      <c r="J11" s="2" t="s">
        <v>1164</v>
      </c>
      <c r="K11" s="3"/>
      <c r="L11" s="3">
        <v>12000</v>
      </c>
    </row>
    <row r="12" spans="1:12" x14ac:dyDescent="0.3">
      <c r="A12" t="s">
        <v>132</v>
      </c>
      <c r="B12" s="40">
        <v>2500</v>
      </c>
      <c r="D12" t="s">
        <v>132</v>
      </c>
      <c r="E12" s="40">
        <v>2500</v>
      </c>
      <c r="J12" s="2" t="s">
        <v>1165</v>
      </c>
      <c r="K12" s="3"/>
      <c r="L12" s="3">
        <v>17500</v>
      </c>
    </row>
    <row r="13" spans="1:12" x14ac:dyDescent="0.3">
      <c r="A13" t="s">
        <v>133</v>
      </c>
      <c r="B13" s="40">
        <v>2700</v>
      </c>
      <c r="D13" t="s">
        <v>133</v>
      </c>
      <c r="E13" s="40">
        <v>2700</v>
      </c>
    </row>
    <row r="14" spans="1:12" x14ac:dyDescent="0.3">
      <c r="A14" t="s">
        <v>134</v>
      </c>
      <c r="B14" s="40">
        <v>3200</v>
      </c>
      <c r="D14" t="s">
        <v>134</v>
      </c>
      <c r="E14" s="40">
        <v>3200</v>
      </c>
    </row>
    <row r="15" spans="1:12" x14ac:dyDescent="0.3">
      <c r="A15" t="s">
        <v>135</v>
      </c>
      <c r="B15" s="40">
        <v>3200</v>
      </c>
      <c r="D15" t="s">
        <v>135</v>
      </c>
      <c r="E15" s="40">
        <v>3200</v>
      </c>
    </row>
    <row r="16" spans="1:12" x14ac:dyDescent="0.3">
      <c r="A16" t="s">
        <v>136</v>
      </c>
      <c r="B16" s="40">
        <v>3400</v>
      </c>
      <c r="D16" t="s">
        <v>136</v>
      </c>
      <c r="E16" s="40">
        <v>3400</v>
      </c>
    </row>
    <row r="17" spans="1:5" x14ac:dyDescent="0.3">
      <c r="A17" t="s">
        <v>137</v>
      </c>
      <c r="B17" s="40">
        <v>3900</v>
      </c>
      <c r="D17" t="s">
        <v>137</v>
      </c>
      <c r="E17" s="40">
        <v>3900</v>
      </c>
    </row>
    <row r="18" spans="1:5" x14ac:dyDescent="0.3">
      <c r="A18" t="s">
        <v>138</v>
      </c>
      <c r="B18" s="40">
        <v>4100</v>
      </c>
      <c r="D18" t="s">
        <v>138</v>
      </c>
      <c r="E18" s="40">
        <v>4100</v>
      </c>
    </row>
    <row r="19" spans="1:5" x14ac:dyDescent="0.3">
      <c r="A19" t="s">
        <v>139</v>
      </c>
      <c r="B19" s="40">
        <v>4800</v>
      </c>
      <c r="D19" t="s">
        <v>139</v>
      </c>
      <c r="E19" s="40">
        <v>4800</v>
      </c>
    </row>
    <row r="20" spans="1:5" x14ac:dyDescent="0.3">
      <c r="A20" t="s">
        <v>140</v>
      </c>
      <c r="B20" s="40">
        <v>4300</v>
      </c>
      <c r="D20" t="s">
        <v>140</v>
      </c>
      <c r="E20" s="40">
        <v>4300</v>
      </c>
    </row>
    <row r="21" spans="1:5" x14ac:dyDescent="0.3">
      <c r="A21" t="s">
        <v>192</v>
      </c>
      <c r="B21" s="40" t="s">
        <v>113</v>
      </c>
      <c r="D21" t="s">
        <v>192</v>
      </c>
      <c r="E21" s="40" t="s">
        <v>113</v>
      </c>
    </row>
    <row r="22" spans="1:5" x14ac:dyDescent="0.3">
      <c r="A22" t="s">
        <v>193</v>
      </c>
      <c r="B22" s="40">
        <v>5000</v>
      </c>
      <c r="D22" t="s">
        <v>193</v>
      </c>
      <c r="E22" s="40">
        <v>5000</v>
      </c>
    </row>
    <row r="23" spans="1:5" x14ac:dyDescent="0.3">
      <c r="A23" t="s">
        <v>194</v>
      </c>
      <c r="B23" s="40">
        <v>6200</v>
      </c>
      <c r="D23" t="s">
        <v>194</v>
      </c>
      <c r="E23" s="40">
        <v>6200</v>
      </c>
    </row>
    <row r="24" spans="1:5" x14ac:dyDescent="0.3">
      <c r="A24" t="s">
        <v>195</v>
      </c>
      <c r="B24" s="40">
        <v>7000</v>
      </c>
      <c r="D24" t="s">
        <v>195</v>
      </c>
      <c r="E24" s="40">
        <v>7000</v>
      </c>
    </row>
    <row r="25" spans="1:5" x14ac:dyDescent="0.3">
      <c r="A25" t="s">
        <v>196</v>
      </c>
      <c r="B25" s="40">
        <v>6800</v>
      </c>
      <c r="D25" t="s">
        <v>196</v>
      </c>
      <c r="E25" s="40">
        <v>6800</v>
      </c>
    </row>
    <row r="26" spans="1:5" x14ac:dyDescent="0.3">
      <c r="A26" t="s">
        <v>197</v>
      </c>
      <c r="B26" s="40">
        <v>8300</v>
      </c>
      <c r="D26" t="s">
        <v>197</v>
      </c>
      <c r="E26" s="40">
        <v>8300</v>
      </c>
    </row>
    <row r="27" spans="1:5" x14ac:dyDescent="0.3">
      <c r="A27" t="s">
        <v>198</v>
      </c>
      <c r="B27" s="40">
        <v>9500</v>
      </c>
      <c r="D27" t="s">
        <v>198</v>
      </c>
      <c r="E27" s="40">
        <v>9500</v>
      </c>
    </row>
    <row r="28" spans="1:5" x14ac:dyDescent="0.3">
      <c r="A28" t="s">
        <v>199</v>
      </c>
      <c r="B28" s="40">
        <v>8600</v>
      </c>
      <c r="D28" t="s">
        <v>199</v>
      </c>
      <c r="E28" s="40">
        <v>8600</v>
      </c>
    </row>
    <row r="29" spans="1:5" x14ac:dyDescent="0.3">
      <c r="A29" t="s">
        <v>200</v>
      </c>
      <c r="B29" s="40">
        <v>12000</v>
      </c>
      <c r="D29" t="s">
        <v>200</v>
      </c>
      <c r="E29" s="40">
        <v>12000</v>
      </c>
    </row>
    <row r="30" spans="1:5" x14ac:dyDescent="0.3">
      <c r="A30" t="s">
        <v>201</v>
      </c>
      <c r="B30" s="40">
        <v>10400</v>
      </c>
      <c r="D30" t="s">
        <v>201</v>
      </c>
      <c r="E30" s="40">
        <v>10400</v>
      </c>
    </row>
    <row r="31" spans="1:5" x14ac:dyDescent="0.3">
      <c r="A31" t="s">
        <v>202</v>
      </c>
      <c r="B31" s="40" t="s">
        <v>113</v>
      </c>
      <c r="D31" t="s">
        <v>202</v>
      </c>
      <c r="E31" s="40" t="s">
        <v>113</v>
      </c>
    </row>
    <row r="32" spans="1:5" x14ac:dyDescent="0.3">
      <c r="A32" t="s">
        <v>203</v>
      </c>
      <c r="B32" s="40">
        <v>5500</v>
      </c>
      <c r="D32" t="s">
        <v>203</v>
      </c>
      <c r="E32" s="40">
        <v>5500</v>
      </c>
    </row>
    <row r="33" spans="1:5" x14ac:dyDescent="0.3">
      <c r="A33" t="s">
        <v>204</v>
      </c>
      <c r="B33" s="40">
        <v>6200</v>
      </c>
      <c r="D33" t="s">
        <v>204</v>
      </c>
      <c r="E33" s="40">
        <v>6200</v>
      </c>
    </row>
    <row r="34" spans="1:5" x14ac:dyDescent="0.3">
      <c r="A34" t="s">
        <v>205</v>
      </c>
      <c r="B34" s="40">
        <v>7000</v>
      </c>
      <c r="D34" t="s">
        <v>205</v>
      </c>
      <c r="E34" s="40">
        <v>7000</v>
      </c>
    </row>
    <row r="35" spans="1:5" x14ac:dyDescent="0.3">
      <c r="A35" t="s">
        <v>206</v>
      </c>
      <c r="B35" s="40">
        <v>7300</v>
      </c>
      <c r="D35" t="s">
        <v>206</v>
      </c>
      <c r="E35" s="40">
        <v>7300</v>
      </c>
    </row>
    <row r="36" spans="1:5" x14ac:dyDescent="0.3">
      <c r="A36" t="s">
        <v>207</v>
      </c>
      <c r="B36" s="40">
        <v>8300</v>
      </c>
      <c r="D36" t="s">
        <v>207</v>
      </c>
      <c r="E36" s="40">
        <v>8300</v>
      </c>
    </row>
    <row r="37" spans="1:5" x14ac:dyDescent="0.3">
      <c r="A37" t="s">
        <v>208</v>
      </c>
      <c r="B37" s="40">
        <v>9500</v>
      </c>
      <c r="D37" t="s">
        <v>208</v>
      </c>
      <c r="E37" s="40">
        <v>9500</v>
      </c>
    </row>
    <row r="38" spans="1:5" x14ac:dyDescent="0.3">
      <c r="A38" t="s">
        <v>209</v>
      </c>
      <c r="B38" s="40">
        <v>9100</v>
      </c>
      <c r="D38" t="s">
        <v>209</v>
      </c>
      <c r="E38" s="40">
        <v>9100</v>
      </c>
    </row>
    <row r="39" spans="1:5" x14ac:dyDescent="0.3">
      <c r="A39" t="s">
        <v>210</v>
      </c>
      <c r="B39" s="40">
        <v>12000</v>
      </c>
      <c r="D39" t="s">
        <v>210</v>
      </c>
      <c r="E39" s="40">
        <v>12000</v>
      </c>
    </row>
    <row r="40" spans="1:5" x14ac:dyDescent="0.3">
      <c r="A40" t="s">
        <v>211</v>
      </c>
      <c r="B40" s="40">
        <v>10400</v>
      </c>
      <c r="D40" t="s">
        <v>211</v>
      </c>
      <c r="E40" s="40">
        <v>10400</v>
      </c>
    </row>
    <row r="41" spans="1:5" x14ac:dyDescent="0.3">
      <c r="A41" t="s">
        <v>212</v>
      </c>
      <c r="B41" s="40" t="s">
        <v>113</v>
      </c>
      <c r="D41" t="s">
        <v>212</v>
      </c>
      <c r="E41" s="40" t="s">
        <v>113</v>
      </c>
    </row>
    <row r="42" spans="1:5" x14ac:dyDescent="0.3">
      <c r="A42" t="s">
        <v>213</v>
      </c>
      <c r="B42" s="40">
        <v>8000</v>
      </c>
      <c r="D42" t="s">
        <v>213</v>
      </c>
      <c r="E42" s="40">
        <v>8000</v>
      </c>
    </row>
    <row r="43" spans="1:5" x14ac:dyDescent="0.3">
      <c r="A43" t="s">
        <v>214</v>
      </c>
      <c r="B43" s="40">
        <v>9500</v>
      </c>
      <c r="D43" t="s">
        <v>214</v>
      </c>
      <c r="E43" s="40">
        <v>9500</v>
      </c>
    </row>
    <row r="44" spans="1:5" x14ac:dyDescent="0.3">
      <c r="A44" t="s">
        <v>215</v>
      </c>
      <c r="B44" s="40">
        <v>12000</v>
      </c>
      <c r="D44" t="s">
        <v>215</v>
      </c>
      <c r="E44" s="40">
        <v>12000</v>
      </c>
    </row>
    <row r="45" spans="1:5" x14ac:dyDescent="0.3">
      <c r="A45" t="s">
        <v>216</v>
      </c>
      <c r="B45" s="40">
        <v>9800</v>
      </c>
      <c r="D45" t="s">
        <v>216</v>
      </c>
      <c r="E45" s="40">
        <v>9800</v>
      </c>
    </row>
    <row r="46" spans="1:5" x14ac:dyDescent="0.3">
      <c r="A46" t="s">
        <v>217</v>
      </c>
      <c r="B46" s="40">
        <v>11600</v>
      </c>
      <c r="D46" t="s">
        <v>217</v>
      </c>
      <c r="E46" s="40">
        <v>11600</v>
      </c>
    </row>
    <row r="47" spans="1:5" x14ac:dyDescent="0.3">
      <c r="A47" t="s">
        <v>218</v>
      </c>
      <c r="B47" s="40">
        <v>14500</v>
      </c>
      <c r="D47" t="s">
        <v>218</v>
      </c>
      <c r="E47" s="40">
        <v>14500</v>
      </c>
    </row>
    <row r="48" spans="1:5" x14ac:dyDescent="0.3">
      <c r="A48" t="s">
        <v>219</v>
      </c>
      <c r="B48" s="40">
        <v>11600</v>
      </c>
      <c r="D48" t="s">
        <v>219</v>
      </c>
      <c r="E48" s="40">
        <v>11600</v>
      </c>
    </row>
    <row r="49" spans="1:5" x14ac:dyDescent="0.3">
      <c r="A49" t="s">
        <v>220</v>
      </c>
      <c r="B49" s="40">
        <v>17000</v>
      </c>
      <c r="D49" t="s">
        <v>220</v>
      </c>
      <c r="E49" s="40">
        <v>17000</v>
      </c>
    </row>
    <row r="50" spans="1:5" x14ac:dyDescent="0.3">
      <c r="A50" t="s">
        <v>221</v>
      </c>
      <c r="B50" s="40">
        <v>13700</v>
      </c>
      <c r="D50" t="s">
        <v>221</v>
      </c>
      <c r="E50" s="40">
        <v>13700</v>
      </c>
    </row>
    <row r="51" spans="1:5" x14ac:dyDescent="0.3">
      <c r="A51" t="s">
        <v>222</v>
      </c>
      <c r="B51" s="40" t="s">
        <v>113</v>
      </c>
      <c r="D51" t="s">
        <v>222</v>
      </c>
      <c r="E51" s="40" t="s">
        <v>113</v>
      </c>
    </row>
    <row r="52" spans="1:5" x14ac:dyDescent="0.3">
      <c r="A52" t="s">
        <v>223</v>
      </c>
      <c r="B52" s="40">
        <v>3480</v>
      </c>
      <c r="D52" t="s">
        <v>223</v>
      </c>
      <c r="E52" s="40">
        <v>3480</v>
      </c>
    </row>
    <row r="53" spans="1:5" x14ac:dyDescent="0.3">
      <c r="A53" t="s">
        <v>224</v>
      </c>
      <c r="B53" s="40">
        <v>4740</v>
      </c>
      <c r="D53" t="s">
        <v>224</v>
      </c>
      <c r="E53" s="40">
        <v>4740</v>
      </c>
    </row>
    <row r="54" spans="1:5" x14ac:dyDescent="0.3">
      <c r="A54" t="s">
        <v>225</v>
      </c>
      <c r="B54" s="40">
        <v>6000</v>
      </c>
      <c r="D54" t="s">
        <v>225</v>
      </c>
      <c r="E54" s="40">
        <v>6000</v>
      </c>
    </row>
    <row r="55" spans="1:5" x14ac:dyDescent="0.3">
      <c r="A55" t="s">
        <v>226</v>
      </c>
      <c r="B55" s="40" t="s">
        <v>113</v>
      </c>
      <c r="D55" t="s">
        <v>226</v>
      </c>
      <c r="E55" s="40" t="s">
        <v>113</v>
      </c>
    </row>
    <row r="56" spans="1:5" x14ac:dyDescent="0.3">
      <c r="A56" t="s">
        <v>227</v>
      </c>
      <c r="B56" s="40">
        <v>5265</v>
      </c>
      <c r="D56" t="s">
        <v>227</v>
      </c>
      <c r="E56" s="40">
        <v>5265</v>
      </c>
    </row>
    <row r="57" spans="1:5" x14ac:dyDescent="0.3">
      <c r="A57" t="s">
        <v>228</v>
      </c>
      <c r="B57" s="40">
        <v>6525</v>
      </c>
      <c r="D57" t="s">
        <v>228</v>
      </c>
      <c r="E57" s="40">
        <v>6525</v>
      </c>
    </row>
    <row r="58" spans="1:5" x14ac:dyDescent="0.3">
      <c r="A58" t="s">
        <v>229</v>
      </c>
      <c r="B58" s="40">
        <v>7785</v>
      </c>
      <c r="D58" t="s">
        <v>229</v>
      </c>
      <c r="E58" s="40">
        <v>7785</v>
      </c>
    </row>
    <row r="59" spans="1:5" x14ac:dyDescent="0.3">
      <c r="A59" t="s">
        <v>141</v>
      </c>
      <c r="B59" s="40" t="s">
        <v>115</v>
      </c>
      <c r="D59" t="s">
        <v>141</v>
      </c>
      <c r="E59" s="40" t="s">
        <v>115</v>
      </c>
    </row>
    <row r="60" spans="1:5" x14ac:dyDescent="0.3">
      <c r="A60" t="s">
        <v>142</v>
      </c>
      <c r="B60" s="40">
        <v>2600</v>
      </c>
      <c r="D60" t="s">
        <v>142</v>
      </c>
      <c r="E60" s="40">
        <v>2600</v>
      </c>
    </row>
    <row r="61" spans="1:5" x14ac:dyDescent="0.3">
      <c r="A61" t="s">
        <v>143</v>
      </c>
      <c r="B61" s="40">
        <v>2800</v>
      </c>
      <c r="D61" t="s">
        <v>143</v>
      </c>
      <c r="E61" s="40">
        <v>2800</v>
      </c>
    </row>
    <row r="62" spans="1:5" x14ac:dyDescent="0.3">
      <c r="A62" t="s">
        <v>144</v>
      </c>
      <c r="B62" s="40">
        <v>3200</v>
      </c>
      <c r="D62" t="s">
        <v>144</v>
      </c>
      <c r="E62" s="40">
        <v>3200</v>
      </c>
    </row>
    <row r="63" spans="1:5" x14ac:dyDescent="0.3">
      <c r="A63" t="s">
        <v>145</v>
      </c>
      <c r="B63" s="40">
        <v>2700</v>
      </c>
      <c r="D63" t="s">
        <v>145</v>
      </c>
      <c r="E63" s="40">
        <v>2700</v>
      </c>
    </row>
    <row r="64" spans="1:5" x14ac:dyDescent="0.3">
      <c r="A64" t="s">
        <v>146</v>
      </c>
      <c r="B64" s="40">
        <v>3000</v>
      </c>
      <c r="D64" t="s">
        <v>146</v>
      </c>
      <c r="E64" s="40">
        <v>3000</v>
      </c>
    </row>
    <row r="65" spans="1:5" x14ac:dyDescent="0.3">
      <c r="A65" t="s">
        <v>147</v>
      </c>
      <c r="B65" s="40">
        <v>3600</v>
      </c>
      <c r="D65" t="s">
        <v>147</v>
      </c>
      <c r="E65" s="40">
        <v>3600</v>
      </c>
    </row>
    <row r="66" spans="1:5" x14ac:dyDescent="0.3">
      <c r="A66" t="s">
        <v>148</v>
      </c>
      <c r="B66" s="40">
        <v>3600</v>
      </c>
      <c r="D66" t="s">
        <v>148</v>
      </c>
      <c r="E66" s="40">
        <v>3600</v>
      </c>
    </row>
    <row r="67" spans="1:5" x14ac:dyDescent="0.3">
      <c r="A67" t="s">
        <v>149</v>
      </c>
      <c r="B67" s="40">
        <v>4800</v>
      </c>
      <c r="D67" t="s">
        <v>149</v>
      </c>
      <c r="E67" s="40">
        <v>4800</v>
      </c>
    </row>
    <row r="68" spans="1:5" x14ac:dyDescent="0.3">
      <c r="A68" t="s">
        <v>150</v>
      </c>
      <c r="B68" s="40">
        <v>4000</v>
      </c>
      <c r="D68" t="s">
        <v>150</v>
      </c>
      <c r="E68" s="40">
        <v>4000</v>
      </c>
    </row>
    <row r="69" spans="1:5" x14ac:dyDescent="0.3">
      <c r="A69" t="s">
        <v>230</v>
      </c>
      <c r="B69" s="40" t="s">
        <v>231</v>
      </c>
      <c r="D69" t="s">
        <v>230</v>
      </c>
      <c r="E69" s="40" t="s">
        <v>231</v>
      </c>
    </row>
    <row r="70" spans="1:5" x14ac:dyDescent="0.3">
      <c r="A70" t="s">
        <v>232</v>
      </c>
      <c r="B70" s="40">
        <v>6500</v>
      </c>
      <c r="D70" t="s">
        <v>232</v>
      </c>
      <c r="E70" s="40">
        <v>6500</v>
      </c>
    </row>
    <row r="71" spans="1:5" x14ac:dyDescent="0.3">
      <c r="A71" t="s">
        <v>233</v>
      </c>
      <c r="B71" s="40">
        <v>7500</v>
      </c>
      <c r="D71" t="s">
        <v>233</v>
      </c>
      <c r="E71" s="40">
        <v>7500</v>
      </c>
    </row>
    <row r="72" spans="1:5" x14ac:dyDescent="0.3">
      <c r="A72" t="s">
        <v>234</v>
      </c>
      <c r="B72" s="40">
        <v>8000</v>
      </c>
      <c r="D72" t="s">
        <v>234</v>
      </c>
      <c r="E72" s="40">
        <v>8000</v>
      </c>
    </row>
    <row r="73" spans="1:5" x14ac:dyDescent="0.3">
      <c r="A73" t="s">
        <v>235</v>
      </c>
      <c r="B73" s="40" t="s">
        <v>236</v>
      </c>
      <c r="D73" t="s">
        <v>235</v>
      </c>
      <c r="E73" s="40" t="s">
        <v>236</v>
      </c>
    </row>
    <row r="74" spans="1:5" x14ac:dyDescent="0.3">
      <c r="A74" t="s">
        <v>730</v>
      </c>
      <c r="B74" s="40">
        <v>7500</v>
      </c>
      <c r="D74" t="s">
        <v>730</v>
      </c>
      <c r="E74" s="40">
        <v>7500</v>
      </c>
    </row>
    <row r="75" spans="1:5" x14ac:dyDescent="0.3">
      <c r="A75" t="s">
        <v>237</v>
      </c>
      <c r="B75" s="40">
        <v>15000</v>
      </c>
      <c r="D75" t="s">
        <v>237</v>
      </c>
      <c r="E75" s="40">
        <v>15000</v>
      </c>
    </row>
    <row r="76" spans="1:5" x14ac:dyDescent="0.3">
      <c r="A76" t="s">
        <v>238</v>
      </c>
      <c r="B76" s="40" t="s">
        <v>236</v>
      </c>
      <c r="D76" t="s">
        <v>238</v>
      </c>
      <c r="E76" s="40" t="s">
        <v>236</v>
      </c>
    </row>
    <row r="77" spans="1:5" x14ac:dyDescent="0.3">
      <c r="A77" t="s">
        <v>239</v>
      </c>
      <c r="B77" s="40">
        <v>1200</v>
      </c>
      <c r="D77" t="s">
        <v>239</v>
      </c>
      <c r="E77" s="40">
        <v>1200</v>
      </c>
    </row>
    <row r="78" spans="1:5" x14ac:dyDescent="0.3">
      <c r="A78" t="s">
        <v>240</v>
      </c>
      <c r="B78" s="40">
        <v>1600</v>
      </c>
      <c r="D78" t="s">
        <v>240</v>
      </c>
      <c r="E78" s="40">
        <v>1600</v>
      </c>
    </row>
    <row r="79" spans="1:5" x14ac:dyDescent="0.3">
      <c r="A79" t="s">
        <v>241</v>
      </c>
      <c r="B79" s="40">
        <v>2000</v>
      </c>
      <c r="D79" t="s">
        <v>241</v>
      </c>
      <c r="E79" s="40">
        <v>2000</v>
      </c>
    </row>
    <row r="80" spans="1:5" x14ac:dyDescent="0.3">
      <c r="A80" t="s">
        <v>242</v>
      </c>
      <c r="B80" s="40">
        <v>1800</v>
      </c>
      <c r="D80" t="s">
        <v>242</v>
      </c>
      <c r="E80" s="40">
        <v>1800</v>
      </c>
    </row>
    <row r="81" spans="1:5" x14ac:dyDescent="0.3">
      <c r="A81" t="s">
        <v>243</v>
      </c>
      <c r="B81" s="40">
        <v>2400</v>
      </c>
      <c r="D81" t="s">
        <v>243</v>
      </c>
      <c r="E81" s="40">
        <v>2400</v>
      </c>
    </row>
    <row r="82" spans="1:5" x14ac:dyDescent="0.3">
      <c r="A82" t="s">
        <v>244</v>
      </c>
      <c r="B82" s="40">
        <v>3000</v>
      </c>
      <c r="D82" t="s">
        <v>244</v>
      </c>
      <c r="E82" s="40">
        <v>3000</v>
      </c>
    </row>
    <row r="83" spans="1:5" x14ac:dyDescent="0.3">
      <c r="A83" t="s">
        <v>590</v>
      </c>
      <c r="B83" s="40">
        <v>2400</v>
      </c>
      <c r="D83" t="s">
        <v>590</v>
      </c>
      <c r="E83" s="40">
        <v>2400</v>
      </c>
    </row>
    <row r="84" spans="1:5" x14ac:dyDescent="0.3">
      <c r="A84" t="s">
        <v>245</v>
      </c>
      <c r="B84" s="40">
        <v>4000</v>
      </c>
      <c r="D84" t="s">
        <v>245</v>
      </c>
      <c r="E84" s="40">
        <v>4000</v>
      </c>
    </row>
    <row r="85" spans="1:5" x14ac:dyDescent="0.3">
      <c r="A85" t="s">
        <v>246</v>
      </c>
      <c r="B85" s="40" t="s">
        <v>231</v>
      </c>
      <c r="D85" t="s">
        <v>246</v>
      </c>
      <c r="E85" s="40" t="s">
        <v>231</v>
      </c>
    </row>
    <row r="86" spans="1:5" x14ac:dyDescent="0.3">
      <c r="A86" t="s">
        <v>247</v>
      </c>
      <c r="B86" s="40">
        <v>7000</v>
      </c>
      <c r="D86" t="s">
        <v>247</v>
      </c>
      <c r="E86" s="40">
        <v>7000</v>
      </c>
    </row>
    <row r="87" spans="1:5" x14ac:dyDescent="0.3">
      <c r="A87" t="s">
        <v>248</v>
      </c>
      <c r="B87" s="40">
        <v>10500</v>
      </c>
      <c r="D87" t="s">
        <v>248</v>
      </c>
      <c r="E87" s="40">
        <v>10500</v>
      </c>
    </row>
    <row r="88" spans="1:5" x14ac:dyDescent="0.3">
      <c r="A88" t="s">
        <v>249</v>
      </c>
      <c r="B88" s="40">
        <v>12500</v>
      </c>
      <c r="D88" t="s">
        <v>249</v>
      </c>
      <c r="E88" s="40">
        <v>12500</v>
      </c>
    </row>
    <row r="89" spans="1:5" x14ac:dyDescent="0.3">
      <c r="A89" t="s">
        <v>250</v>
      </c>
      <c r="B89" s="40" t="s">
        <v>114</v>
      </c>
      <c r="D89" t="s">
        <v>250</v>
      </c>
      <c r="E89" s="40" t="s">
        <v>114</v>
      </c>
    </row>
    <row r="90" spans="1:5" x14ac:dyDescent="0.3">
      <c r="A90" t="s">
        <v>251</v>
      </c>
      <c r="B90" s="40">
        <v>1200</v>
      </c>
      <c r="D90" t="s">
        <v>251</v>
      </c>
      <c r="E90" s="40">
        <v>1200</v>
      </c>
    </row>
    <row r="91" spans="1:5" x14ac:dyDescent="0.3">
      <c r="A91" t="s">
        <v>252</v>
      </c>
      <c r="B91" s="40">
        <v>1600</v>
      </c>
      <c r="D91" t="s">
        <v>252</v>
      </c>
      <c r="E91" s="40">
        <v>1600</v>
      </c>
    </row>
    <row r="92" spans="1:5" x14ac:dyDescent="0.3">
      <c r="A92" t="s">
        <v>253</v>
      </c>
      <c r="B92" s="40">
        <v>2400</v>
      </c>
      <c r="D92" t="s">
        <v>253</v>
      </c>
      <c r="E92" s="40">
        <v>2400</v>
      </c>
    </row>
    <row r="93" spans="1:5" x14ac:dyDescent="0.3">
      <c r="A93" t="s">
        <v>254</v>
      </c>
      <c r="B93" s="40">
        <v>1800</v>
      </c>
      <c r="D93" t="s">
        <v>254</v>
      </c>
      <c r="E93" s="40">
        <v>1800</v>
      </c>
    </row>
    <row r="94" spans="1:5" x14ac:dyDescent="0.3">
      <c r="A94" t="s">
        <v>255</v>
      </c>
      <c r="B94" s="40">
        <v>2400</v>
      </c>
      <c r="D94" t="s">
        <v>255</v>
      </c>
      <c r="E94" s="40">
        <v>2400</v>
      </c>
    </row>
    <row r="95" spans="1:5" x14ac:dyDescent="0.3">
      <c r="A95" t="s">
        <v>256</v>
      </c>
      <c r="B95" s="40">
        <v>3600</v>
      </c>
      <c r="D95" t="s">
        <v>256</v>
      </c>
      <c r="E95" s="40">
        <v>3600</v>
      </c>
    </row>
    <row r="96" spans="1:5" x14ac:dyDescent="0.3">
      <c r="A96" t="s">
        <v>257</v>
      </c>
      <c r="B96" s="40">
        <v>2400</v>
      </c>
      <c r="D96" t="s">
        <v>257</v>
      </c>
      <c r="E96" s="40">
        <v>2400</v>
      </c>
    </row>
    <row r="97" spans="1:5" x14ac:dyDescent="0.3">
      <c r="A97" t="s">
        <v>258</v>
      </c>
      <c r="B97" s="40">
        <v>4800</v>
      </c>
      <c r="D97" t="s">
        <v>258</v>
      </c>
      <c r="E97" s="40">
        <v>4800</v>
      </c>
    </row>
    <row r="98" spans="1:5" x14ac:dyDescent="0.3">
      <c r="A98" t="s">
        <v>259</v>
      </c>
      <c r="B98" s="40">
        <v>3200</v>
      </c>
      <c r="D98" t="s">
        <v>259</v>
      </c>
      <c r="E98" s="40">
        <v>3200</v>
      </c>
    </row>
    <row r="99" spans="1:5" x14ac:dyDescent="0.3">
      <c r="A99" t="s">
        <v>260</v>
      </c>
      <c r="B99" s="40" t="s">
        <v>261</v>
      </c>
      <c r="D99" t="s">
        <v>260</v>
      </c>
      <c r="E99" s="40" t="s">
        <v>261</v>
      </c>
    </row>
    <row r="100" spans="1:5" x14ac:dyDescent="0.3">
      <c r="A100" t="s">
        <v>651</v>
      </c>
      <c r="B100" s="40">
        <v>2000</v>
      </c>
      <c r="D100" t="s">
        <v>651</v>
      </c>
      <c r="E100" s="40">
        <v>2000</v>
      </c>
    </row>
    <row r="101" spans="1:5" x14ac:dyDescent="0.3">
      <c r="A101" t="s">
        <v>652</v>
      </c>
      <c r="B101" s="40">
        <v>2500</v>
      </c>
      <c r="D101" t="s">
        <v>652</v>
      </c>
      <c r="E101" s="40">
        <v>2500</v>
      </c>
    </row>
    <row r="102" spans="1:5" x14ac:dyDescent="0.3">
      <c r="A102" t="s">
        <v>262</v>
      </c>
      <c r="B102" s="40">
        <v>3000</v>
      </c>
      <c r="D102" t="s">
        <v>262</v>
      </c>
      <c r="E102" s="40">
        <v>3000</v>
      </c>
    </row>
    <row r="103" spans="1:5" x14ac:dyDescent="0.3">
      <c r="A103" t="s">
        <v>653</v>
      </c>
      <c r="B103" s="40">
        <v>3000</v>
      </c>
      <c r="D103" t="s">
        <v>653</v>
      </c>
      <c r="E103" s="40">
        <v>3000</v>
      </c>
    </row>
    <row r="104" spans="1:5" x14ac:dyDescent="0.3">
      <c r="A104" t="s">
        <v>654</v>
      </c>
      <c r="B104" s="40">
        <v>3500</v>
      </c>
      <c r="D104" t="s">
        <v>654</v>
      </c>
      <c r="E104" s="40">
        <v>3500</v>
      </c>
    </row>
    <row r="105" spans="1:5" x14ac:dyDescent="0.3">
      <c r="A105" t="s">
        <v>263</v>
      </c>
      <c r="B105" s="40">
        <v>4000</v>
      </c>
      <c r="D105" t="s">
        <v>263</v>
      </c>
      <c r="E105" s="40">
        <v>4000</v>
      </c>
    </row>
    <row r="106" spans="1:5" x14ac:dyDescent="0.3">
      <c r="A106" t="s">
        <v>655</v>
      </c>
      <c r="B106" s="40">
        <v>4500</v>
      </c>
      <c r="D106" t="s">
        <v>655</v>
      </c>
      <c r="E106" s="40">
        <v>4500</v>
      </c>
    </row>
    <row r="107" spans="1:5" x14ac:dyDescent="0.3">
      <c r="A107" t="s">
        <v>264</v>
      </c>
      <c r="B107" s="40">
        <v>5000</v>
      </c>
      <c r="D107" t="s">
        <v>264</v>
      </c>
      <c r="E107" s="40">
        <v>5000</v>
      </c>
    </row>
    <row r="108" spans="1:5" x14ac:dyDescent="0.3">
      <c r="A108" t="s">
        <v>656</v>
      </c>
      <c r="B108" s="40">
        <v>4500</v>
      </c>
      <c r="D108" t="s">
        <v>656</v>
      </c>
      <c r="E108" s="40">
        <v>4500</v>
      </c>
    </row>
    <row r="109" spans="1:5" x14ac:dyDescent="0.3">
      <c r="A109" t="s">
        <v>265</v>
      </c>
      <c r="B109" s="40" t="s">
        <v>261</v>
      </c>
      <c r="D109" t="s">
        <v>265</v>
      </c>
      <c r="E109" s="40" t="s">
        <v>261</v>
      </c>
    </row>
    <row r="110" spans="1:5" x14ac:dyDescent="0.3">
      <c r="A110" t="s">
        <v>266</v>
      </c>
      <c r="B110" s="40">
        <v>2500</v>
      </c>
      <c r="D110" t="s">
        <v>266</v>
      </c>
      <c r="E110" s="40">
        <v>2500</v>
      </c>
    </row>
    <row r="111" spans="1:5" x14ac:dyDescent="0.3">
      <c r="A111" t="s">
        <v>597</v>
      </c>
      <c r="B111" s="40">
        <v>3000</v>
      </c>
      <c r="D111" t="s">
        <v>597</v>
      </c>
      <c r="E111" s="40">
        <v>3000</v>
      </c>
    </row>
    <row r="112" spans="1:5" x14ac:dyDescent="0.3">
      <c r="A112" t="s">
        <v>267</v>
      </c>
      <c r="B112" s="40">
        <v>3600</v>
      </c>
      <c r="D112" t="s">
        <v>267</v>
      </c>
      <c r="E112" s="40">
        <v>3600</v>
      </c>
    </row>
    <row r="113" spans="1:5" x14ac:dyDescent="0.3">
      <c r="A113" t="s">
        <v>268</v>
      </c>
      <c r="B113" s="40">
        <v>3400</v>
      </c>
      <c r="D113" t="s">
        <v>268</v>
      </c>
      <c r="E113" s="40">
        <v>3400</v>
      </c>
    </row>
    <row r="114" spans="1:5" x14ac:dyDescent="0.3">
      <c r="A114" t="s">
        <v>598</v>
      </c>
      <c r="B114" s="40">
        <v>4000</v>
      </c>
      <c r="D114" t="s">
        <v>598</v>
      </c>
      <c r="E114" s="40">
        <v>4000</v>
      </c>
    </row>
    <row r="115" spans="1:5" x14ac:dyDescent="0.3">
      <c r="A115" t="s">
        <v>269</v>
      </c>
      <c r="B115" s="40">
        <v>4800</v>
      </c>
      <c r="D115" t="s">
        <v>269</v>
      </c>
      <c r="E115" s="40">
        <v>4800</v>
      </c>
    </row>
    <row r="116" spans="1:5" x14ac:dyDescent="0.3">
      <c r="A116" t="s">
        <v>589</v>
      </c>
      <c r="B116" s="40">
        <v>5500</v>
      </c>
      <c r="D116" t="s">
        <v>589</v>
      </c>
      <c r="E116" s="40">
        <v>5500</v>
      </c>
    </row>
    <row r="117" spans="1:5" x14ac:dyDescent="0.3">
      <c r="A117" t="s">
        <v>270</v>
      </c>
      <c r="B117" s="40" t="s">
        <v>271</v>
      </c>
      <c r="D117" t="s">
        <v>270</v>
      </c>
      <c r="E117" s="40" t="s">
        <v>271</v>
      </c>
    </row>
    <row r="118" spans="1:5" x14ac:dyDescent="0.3">
      <c r="A118" t="s">
        <v>969</v>
      </c>
      <c r="B118" s="40" t="s">
        <v>272</v>
      </c>
      <c r="D118" t="s">
        <v>969</v>
      </c>
      <c r="E118" s="40" t="s">
        <v>272</v>
      </c>
    </row>
    <row r="119" spans="1:5" x14ac:dyDescent="0.3">
      <c r="A119" t="s">
        <v>970</v>
      </c>
      <c r="B119" s="40">
        <v>5800</v>
      </c>
      <c r="D119" t="s">
        <v>970</v>
      </c>
      <c r="E119" s="40">
        <v>5800</v>
      </c>
    </row>
    <row r="120" spans="1:5" x14ac:dyDescent="0.3">
      <c r="A120" t="s">
        <v>971</v>
      </c>
      <c r="B120" s="40">
        <v>6400</v>
      </c>
      <c r="D120" t="s">
        <v>971</v>
      </c>
      <c r="E120" s="40">
        <v>6400</v>
      </c>
    </row>
    <row r="121" spans="1:5" x14ac:dyDescent="0.3">
      <c r="A121" t="s">
        <v>972</v>
      </c>
      <c r="B121" s="40">
        <v>7700</v>
      </c>
      <c r="D121" t="s">
        <v>972</v>
      </c>
      <c r="E121" s="40">
        <v>7700</v>
      </c>
    </row>
    <row r="122" spans="1:5" x14ac:dyDescent="0.3">
      <c r="A122" t="s">
        <v>973</v>
      </c>
      <c r="B122" s="40">
        <v>3700</v>
      </c>
      <c r="D122" t="s">
        <v>973</v>
      </c>
      <c r="E122" s="40">
        <v>3700</v>
      </c>
    </row>
    <row r="123" spans="1:5" x14ac:dyDescent="0.3">
      <c r="A123" t="s">
        <v>974</v>
      </c>
      <c r="B123" s="40">
        <v>4000</v>
      </c>
      <c r="D123" t="s">
        <v>974</v>
      </c>
      <c r="E123" s="40">
        <v>4000</v>
      </c>
    </row>
    <row r="124" spans="1:5" x14ac:dyDescent="0.3">
      <c r="A124" t="s">
        <v>975</v>
      </c>
      <c r="B124" s="40">
        <v>5200</v>
      </c>
      <c r="D124" t="s">
        <v>975</v>
      </c>
      <c r="E124" s="40">
        <v>5200</v>
      </c>
    </row>
    <row r="125" spans="1:5" x14ac:dyDescent="0.3">
      <c r="A125" t="s">
        <v>976</v>
      </c>
      <c r="B125" s="40">
        <v>4000</v>
      </c>
      <c r="D125" t="s">
        <v>976</v>
      </c>
      <c r="E125" s="40">
        <v>4000</v>
      </c>
    </row>
    <row r="126" spans="1:5" x14ac:dyDescent="0.3">
      <c r="A126" t="s">
        <v>977</v>
      </c>
      <c r="B126" s="40">
        <v>6000</v>
      </c>
      <c r="D126" t="s">
        <v>977</v>
      </c>
      <c r="E126" s="40">
        <v>6000</v>
      </c>
    </row>
    <row r="127" spans="1:5" x14ac:dyDescent="0.3">
      <c r="A127" t="s">
        <v>978</v>
      </c>
      <c r="B127" s="40">
        <v>4400</v>
      </c>
      <c r="D127" t="s">
        <v>978</v>
      </c>
      <c r="E127" s="40">
        <v>4400</v>
      </c>
    </row>
    <row r="128" spans="1:5" x14ac:dyDescent="0.3">
      <c r="A128" t="s">
        <v>273</v>
      </c>
      <c r="B128" s="40" t="s">
        <v>261</v>
      </c>
      <c r="D128" t="s">
        <v>273</v>
      </c>
      <c r="E128" s="40" t="s">
        <v>261</v>
      </c>
    </row>
    <row r="129" spans="1:5" x14ac:dyDescent="0.3">
      <c r="A129" t="s">
        <v>274</v>
      </c>
      <c r="B129" s="40">
        <v>2400</v>
      </c>
      <c r="D129" t="s">
        <v>274</v>
      </c>
      <c r="E129" s="40">
        <v>2400</v>
      </c>
    </row>
    <row r="130" spans="1:5" x14ac:dyDescent="0.3">
      <c r="A130" t="s">
        <v>275</v>
      </c>
      <c r="B130" s="40">
        <v>2800</v>
      </c>
      <c r="D130" t="s">
        <v>275</v>
      </c>
      <c r="E130" s="40">
        <v>2800</v>
      </c>
    </row>
    <row r="131" spans="1:5" x14ac:dyDescent="0.3">
      <c r="A131" t="s">
        <v>276</v>
      </c>
      <c r="B131" s="40">
        <v>3200</v>
      </c>
      <c r="D131" t="s">
        <v>276</v>
      </c>
      <c r="E131" s="40">
        <v>3200</v>
      </c>
    </row>
    <row r="132" spans="1:5" x14ac:dyDescent="0.3">
      <c r="A132" t="s">
        <v>277</v>
      </c>
      <c r="B132" s="40">
        <v>3000</v>
      </c>
      <c r="D132" t="s">
        <v>277</v>
      </c>
      <c r="E132" s="40">
        <v>3000</v>
      </c>
    </row>
    <row r="133" spans="1:5" x14ac:dyDescent="0.3">
      <c r="A133" t="s">
        <v>278</v>
      </c>
      <c r="B133" s="40">
        <v>3600</v>
      </c>
      <c r="D133" t="s">
        <v>278</v>
      </c>
      <c r="E133" s="40">
        <v>3600</v>
      </c>
    </row>
    <row r="134" spans="1:5" x14ac:dyDescent="0.3">
      <c r="A134" t="s">
        <v>279</v>
      </c>
      <c r="B134" s="40">
        <v>4200</v>
      </c>
      <c r="D134" t="s">
        <v>279</v>
      </c>
      <c r="E134" s="40">
        <v>4200</v>
      </c>
    </row>
    <row r="135" spans="1:5" x14ac:dyDescent="0.3">
      <c r="A135" t="s">
        <v>280</v>
      </c>
      <c r="B135" s="40">
        <v>3600</v>
      </c>
      <c r="D135" t="s">
        <v>280</v>
      </c>
      <c r="E135" s="40">
        <v>3600</v>
      </c>
    </row>
    <row r="136" spans="1:5" x14ac:dyDescent="0.3">
      <c r="A136" t="s">
        <v>281</v>
      </c>
      <c r="B136" s="40">
        <v>5200</v>
      </c>
      <c r="D136" t="s">
        <v>281</v>
      </c>
      <c r="E136" s="40">
        <v>5200</v>
      </c>
    </row>
    <row r="137" spans="1:5" x14ac:dyDescent="0.3">
      <c r="A137" t="s">
        <v>282</v>
      </c>
      <c r="B137" s="40">
        <v>4400</v>
      </c>
      <c r="D137" t="s">
        <v>282</v>
      </c>
      <c r="E137" s="40">
        <v>4400</v>
      </c>
    </row>
    <row r="138" spans="1:5" x14ac:dyDescent="0.3">
      <c r="A138" t="s">
        <v>283</v>
      </c>
      <c r="B138" s="40" t="s">
        <v>261</v>
      </c>
      <c r="D138" t="s">
        <v>283</v>
      </c>
      <c r="E138" s="40" t="s">
        <v>261</v>
      </c>
    </row>
    <row r="139" spans="1:5" x14ac:dyDescent="0.3">
      <c r="A139" t="s">
        <v>284</v>
      </c>
      <c r="B139" s="40">
        <v>2500</v>
      </c>
      <c r="D139" t="s">
        <v>284</v>
      </c>
      <c r="E139" s="40">
        <v>2500</v>
      </c>
    </row>
    <row r="140" spans="1:5" x14ac:dyDescent="0.3">
      <c r="A140" t="s">
        <v>285</v>
      </c>
      <c r="B140" s="40">
        <v>2800</v>
      </c>
      <c r="D140" t="s">
        <v>285</v>
      </c>
      <c r="E140" s="40">
        <v>2800</v>
      </c>
    </row>
    <row r="141" spans="1:5" x14ac:dyDescent="0.3">
      <c r="A141" t="s">
        <v>286</v>
      </c>
      <c r="B141" s="40">
        <v>3500</v>
      </c>
      <c r="D141" t="s">
        <v>286</v>
      </c>
      <c r="E141" s="40">
        <v>3500</v>
      </c>
    </row>
    <row r="142" spans="1:5" x14ac:dyDescent="0.3">
      <c r="A142" t="s">
        <v>287</v>
      </c>
      <c r="B142" s="40">
        <v>3300</v>
      </c>
      <c r="D142" t="s">
        <v>287</v>
      </c>
      <c r="E142" s="40">
        <v>3300</v>
      </c>
    </row>
    <row r="143" spans="1:5" x14ac:dyDescent="0.3">
      <c r="A143" t="s">
        <v>288</v>
      </c>
      <c r="B143" s="40">
        <v>3750</v>
      </c>
      <c r="D143" t="s">
        <v>288</v>
      </c>
      <c r="E143" s="40">
        <v>3750</v>
      </c>
    </row>
    <row r="144" spans="1:5" x14ac:dyDescent="0.3">
      <c r="A144" t="s">
        <v>289</v>
      </c>
      <c r="B144" s="40">
        <v>4800</v>
      </c>
      <c r="D144" t="s">
        <v>289</v>
      </c>
      <c r="E144" s="40">
        <v>4800</v>
      </c>
    </row>
    <row r="145" spans="1:5" x14ac:dyDescent="0.3">
      <c r="A145" t="s">
        <v>290</v>
      </c>
      <c r="B145" s="40">
        <v>4000</v>
      </c>
      <c r="D145" t="s">
        <v>290</v>
      </c>
      <c r="E145" s="40">
        <v>4000</v>
      </c>
    </row>
    <row r="146" spans="1:5" x14ac:dyDescent="0.3">
      <c r="A146" t="s">
        <v>291</v>
      </c>
      <c r="B146" s="40">
        <v>6000</v>
      </c>
      <c r="D146" t="s">
        <v>291</v>
      </c>
      <c r="E146" s="40">
        <v>6000</v>
      </c>
    </row>
    <row r="147" spans="1:5" x14ac:dyDescent="0.3">
      <c r="A147" t="s">
        <v>292</v>
      </c>
      <c r="B147" s="40">
        <v>4600</v>
      </c>
      <c r="D147" t="s">
        <v>292</v>
      </c>
      <c r="E147" s="40">
        <v>4600</v>
      </c>
    </row>
    <row r="148" spans="1:5" x14ac:dyDescent="0.3">
      <c r="A148" t="s">
        <v>293</v>
      </c>
      <c r="B148" s="40" t="s">
        <v>271</v>
      </c>
      <c r="D148" t="s">
        <v>293</v>
      </c>
      <c r="E148" s="40" t="s">
        <v>271</v>
      </c>
    </row>
    <row r="149" spans="1:5" x14ac:dyDescent="0.3">
      <c r="A149" t="s">
        <v>294</v>
      </c>
      <c r="B149" s="40">
        <v>1400</v>
      </c>
      <c r="D149" t="s">
        <v>294</v>
      </c>
      <c r="E149" s="40">
        <v>1400</v>
      </c>
    </row>
    <row r="150" spans="1:5" x14ac:dyDescent="0.3">
      <c r="A150" t="s">
        <v>295</v>
      </c>
      <c r="B150" s="40">
        <v>2000</v>
      </c>
      <c r="D150" t="s">
        <v>295</v>
      </c>
      <c r="E150" s="40">
        <v>2000</v>
      </c>
    </row>
    <row r="151" spans="1:5" x14ac:dyDescent="0.3">
      <c r="A151" t="s">
        <v>584</v>
      </c>
      <c r="B151" s="40">
        <v>2500</v>
      </c>
      <c r="D151" t="s">
        <v>584</v>
      </c>
      <c r="E151" s="40">
        <v>2500</v>
      </c>
    </row>
    <row r="152" spans="1:5" x14ac:dyDescent="0.3">
      <c r="A152" t="s">
        <v>585</v>
      </c>
      <c r="B152" s="40">
        <v>3000</v>
      </c>
      <c r="D152" t="s">
        <v>585</v>
      </c>
      <c r="E152" s="40">
        <v>3000</v>
      </c>
    </row>
    <row r="153" spans="1:5" x14ac:dyDescent="0.3">
      <c r="A153" t="s">
        <v>586</v>
      </c>
      <c r="B153" s="40">
        <v>3500</v>
      </c>
      <c r="D153" t="s">
        <v>586</v>
      </c>
      <c r="E153" s="40">
        <v>3500</v>
      </c>
    </row>
    <row r="154" spans="1:5" x14ac:dyDescent="0.3">
      <c r="A154" t="s">
        <v>587</v>
      </c>
      <c r="B154" s="40">
        <v>4000</v>
      </c>
      <c r="D154" t="s">
        <v>587</v>
      </c>
      <c r="E154" s="40">
        <v>4000</v>
      </c>
    </row>
    <row r="155" spans="1:5" x14ac:dyDescent="0.3">
      <c r="A155" t="s">
        <v>296</v>
      </c>
      <c r="B155" s="40" t="s">
        <v>261</v>
      </c>
      <c r="D155" t="s">
        <v>296</v>
      </c>
      <c r="E155" s="40" t="s">
        <v>261</v>
      </c>
    </row>
    <row r="156" spans="1:5" x14ac:dyDescent="0.3">
      <c r="A156" t="s">
        <v>297</v>
      </c>
      <c r="B156" s="40">
        <v>2500</v>
      </c>
      <c r="D156" t="s">
        <v>297</v>
      </c>
      <c r="E156" s="40">
        <v>2500</v>
      </c>
    </row>
    <row r="157" spans="1:5" x14ac:dyDescent="0.3">
      <c r="A157" t="s">
        <v>298</v>
      </c>
      <c r="B157" s="40">
        <v>2900</v>
      </c>
      <c r="D157" t="s">
        <v>298</v>
      </c>
      <c r="E157" s="40">
        <v>2900</v>
      </c>
    </row>
    <row r="158" spans="1:5" x14ac:dyDescent="0.3">
      <c r="A158" t="s">
        <v>299</v>
      </c>
      <c r="B158" s="40">
        <v>3500</v>
      </c>
      <c r="D158" t="s">
        <v>299</v>
      </c>
      <c r="E158" s="40">
        <v>3500</v>
      </c>
    </row>
    <row r="159" spans="1:5" x14ac:dyDescent="0.3">
      <c r="A159" t="s">
        <v>300</v>
      </c>
      <c r="B159" s="40">
        <v>3300</v>
      </c>
      <c r="D159" t="s">
        <v>300</v>
      </c>
      <c r="E159" s="40">
        <v>3300</v>
      </c>
    </row>
    <row r="160" spans="1:5" x14ac:dyDescent="0.3">
      <c r="A160" t="s">
        <v>301</v>
      </c>
      <c r="B160" s="40">
        <v>3900</v>
      </c>
      <c r="D160" t="s">
        <v>301</v>
      </c>
      <c r="E160" s="40">
        <v>3900</v>
      </c>
    </row>
    <row r="161" spans="1:5" x14ac:dyDescent="0.3">
      <c r="A161" t="s">
        <v>302</v>
      </c>
      <c r="B161" s="40">
        <v>4800</v>
      </c>
      <c r="D161" t="s">
        <v>302</v>
      </c>
      <c r="E161" s="40">
        <v>4800</v>
      </c>
    </row>
    <row r="162" spans="1:5" x14ac:dyDescent="0.3">
      <c r="A162" t="s">
        <v>303</v>
      </c>
      <c r="B162" s="40">
        <v>4100</v>
      </c>
      <c r="D162" t="s">
        <v>303</v>
      </c>
      <c r="E162" s="40">
        <v>4100</v>
      </c>
    </row>
    <row r="163" spans="1:5" x14ac:dyDescent="0.3">
      <c r="A163" t="s">
        <v>304</v>
      </c>
      <c r="B163" s="40">
        <v>6100</v>
      </c>
      <c r="D163" t="s">
        <v>304</v>
      </c>
      <c r="E163" s="40">
        <v>6100</v>
      </c>
    </row>
    <row r="164" spans="1:5" x14ac:dyDescent="0.3">
      <c r="A164" t="s">
        <v>305</v>
      </c>
      <c r="B164" s="40">
        <v>4900</v>
      </c>
      <c r="D164" t="s">
        <v>305</v>
      </c>
      <c r="E164" s="40">
        <v>4900</v>
      </c>
    </row>
    <row r="165" spans="1:5" x14ac:dyDescent="0.3">
      <c r="A165" t="s">
        <v>306</v>
      </c>
      <c r="B165" s="40" t="s">
        <v>307</v>
      </c>
      <c r="D165" t="s">
        <v>306</v>
      </c>
      <c r="E165" s="40" t="s">
        <v>307</v>
      </c>
    </row>
    <row r="166" spans="1:5" x14ac:dyDescent="0.3">
      <c r="A166" t="s">
        <v>308</v>
      </c>
      <c r="B166" s="40">
        <v>600</v>
      </c>
      <c r="D166" t="s">
        <v>308</v>
      </c>
      <c r="E166" s="40">
        <v>600</v>
      </c>
    </row>
    <row r="167" spans="1:5" x14ac:dyDescent="0.3">
      <c r="A167" t="s">
        <v>309</v>
      </c>
      <c r="B167" s="40">
        <v>850</v>
      </c>
      <c r="D167" t="s">
        <v>309</v>
      </c>
      <c r="E167" s="40">
        <v>850</v>
      </c>
    </row>
    <row r="168" spans="1:5" x14ac:dyDescent="0.3">
      <c r="A168" t="s">
        <v>310</v>
      </c>
      <c r="B168" s="40" t="s">
        <v>311</v>
      </c>
      <c r="D168" t="s">
        <v>310</v>
      </c>
      <c r="E168" s="40" t="s">
        <v>311</v>
      </c>
    </row>
    <row r="169" spans="1:5" x14ac:dyDescent="0.3">
      <c r="A169" t="s">
        <v>312</v>
      </c>
      <c r="B169" s="40">
        <v>2800</v>
      </c>
      <c r="D169" t="s">
        <v>312</v>
      </c>
      <c r="E169" s="40">
        <v>2800</v>
      </c>
    </row>
    <row r="170" spans="1:5" x14ac:dyDescent="0.3">
      <c r="A170" t="s">
        <v>313</v>
      </c>
      <c r="B170" s="40">
        <v>3400</v>
      </c>
      <c r="D170" t="s">
        <v>313</v>
      </c>
      <c r="E170" s="40">
        <v>3400</v>
      </c>
    </row>
    <row r="171" spans="1:5" x14ac:dyDescent="0.3">
      <c r="A171" t="s">
        <v>314</v>
      </c>
      <c r="B171" s="40">
        <v>3300</v>
      </c>
      <c r="D171" t="s">
        <v>314</v>
      </c>
      <c r="E171" s="40">
        <v>3300</v>
      </c>
    </row>
    <row r="172" spans="1:5" x14ac:dyDescent="0.3">
      <c r="A172" t="s">
        <v>315</v>
      </c>
      <c r="B172" s="40">
        <v>4200</v>
      </c>
      <c r="D172" t="s">
        <v>315</v>
      </c>
      <c r="E172" s="40">
        <v>4200</v>
      </c>
    </row>
    <row r="173" spans="1:5" x14ac:dyDescent="0.3">
      <c r="A173" t="s">
        <v>316</v>
      </c>
      <c r="B173" s="40" t="s">
        <v>317</v>
      </c>
      <c r="D173" t="s">
        <v>316</v>
      </c>
      <c r="E173" s="40" t="s">
        <v>317</v>
      </c>
    </row>
    <row r="174" spans="1:5" x14ac:dyDescent="0.3">
      <c r="A174" t="s">
        <v>318</v>
      </c>
      <c r="B174" s="40">
        <v>2200</v>
      </c>
      <c r="D174" t="s">
        <v>318</v>
      </c>
      <c r="E174" s="40">
        <v>2200</v>
      </c>
    </row>
    <row r="175" spans="1:5" x14ac:dyDescent="0.3">
      <c r="A175" t="s">
        <v>319</v>
      </c>
      <c r="B175" s="40">
        <v>3000</v>
      </c>
      <c r="D175" t="s">
        <v>319</v>
      </c>
      <c r="E175" s="40">
        <v>3000</v>
      </c>
    </row>
    <row r="176" spans="1:5" x14ac:dyDescent="0.3">
      <c r="A176" t="s">
        <v>320</v>
      </c>
      <c r="B176" s="40">
        <v>3000</v>
      </c>
      <c r="D176" t="s">
        <v>320</v>
      </c>
      <c r="E176" s="40">
        <v>3000</v>
      </c>
    </row>
    <row r="177" spans="1:5" x14ac:dyDescent="0.3">
      <c r="A177" t="s">
        <v>321</v>
      </c>
      <c r="B177" s="40">
        <v>4200</v>
      </c>
      <c r="D177" t="s">
        <v>321</v>
      </c>
      <c r="E177" s="40">
        <v>4200</v>
      </c>
    </row>
    <row r="178" spans="1:5" x14ac:dyDescent="0.3">
      <c r="A178" t="s">
        <v>322</v>
      </c>
      <c r="B178" s="40">
        <v>4100</v>
      </c>
      <c r="D178" t="s">
        <v>322</v>
      </c>
      <c r="E178" s="40">
        <v>4100</v>
      </c>
    </row>
    <row r="179" spans="1:5" x14ac:dyDescent="0.3">
      <c r="A179" t="s">
        <v>323</v>
      </c>
      <c r="B179" s="40">
        <v>5600</v>
      </c>
      <c r="D179" t="s">
        <v>323</v>
      </c>
      <c r="E179" s="40">
        <v>5600</v>
      </c>
    </row>
    <row r="180" spans="1:5" x14ac:dyDescent="0.3">
      <c r="A180" t="s">
        <v>1065</v>
      </c>
      <c r="B180" s="40" t="s">
        <v>324</v>
      </c>
      <c r="D180" t="s">
        <v>1065</v>
      </c>
      <c r="E180" s="40" t="s">
        <v>324</v>
      </c>
    </row>
    <row r="181" spans="1:5" x14ac:dyDescent="0.3">
      <c r="A181" t="s">
        <v>1066</v>
      </c>
      <c r="B181" s="40">
        <v>3500</v>
      </c>
      <c r="D181" t="s">
        <v>1066</v>
      </c>
      <c r="E181" s="40">
        <v>3500</v>
      </c>
    </row>
    <row r="182" spans="1:5" x14ac:dyDescent="0.3">
      <c r="A182" t="s">
        <v>1067</v>
      </c>
      <c r="B182" s="40">
        <v>4000</v>
      </c>
      <c r="D182" t="s">
        <v>1067</v>
      </c>
      <c r="E182" s="40">
        <v>4000</v>
      </c>
    </row>
    <row r="183" spans="1:5" x14ac:dyDescent="0.3">
      <c r="A183" t="s">
        <v>1068</v>
      </c>
      <c r="B183" s="40">
        <v>4800</v>
      </c>
      <c r="D183" t="s">
        <v>1068</v>
      </c>
      <c r="E183" s="40">
        <v>4800</v>
      </c>
    </row>
    <row r="184" spans="1:5" x14ac:dyDescent="0.3">
      <c r="A184" t="s">
        <v>1069</v>
      </c>
      <c r="B184" s="40">
        <v>4500</v>
      </c>
      <c r="D184" t="s">
        <v>1069</v>
      </c>
      <c r="E184" s="40">
        <v>4500</v>
      </c>
    </row>
    <row r="185" spans="1:5" x14ac:dyDescent="0.3">
      <c r="A185" t="s">
        <v>1070</v>
      </c>
      <c r="B185" s="40">
        <v>5250</v>
      </c>
      <c r="D185" t="s">
        <v>1070</v>
      </c>
      <c r="E185" s="40">
        <v>5250</v>
      </c>
    </row>
    <row r="186" spans="1:5" x14ac:dyDescent="0.3">
      <c r="A186" t="s">
        <v>1071</v>
      </c>
      <c r="B186" s="40">
        <v>5700</v>
      </c>
      <c r="D186" t="s">
        <v>1071</v>
      </c>
      <c r="E186" s="40">
        <v>5700</v>
      </c>
    </row>
    <row r="187" spans="1:5" x14ac:dyDescent="0.3">
      <c r="A187" t="s">
        <v>325</v>
      </c>
      <c r="B187" s="40" t="s">
        <v>317</v>
      </c>
      <c r="D187" t="s">
        <v>325</v>
      </c>
      <c r="E187" s="40" t="s">
        <v>317</v>
      </c>
    </row>
    <row r="188" spans="1:5" x14ac:dyDescent="0.3">
      <c r="A188" t="s">
        <v>326</v>
      </c>
      <c r="B188" s="40">
        <v>2500</v>
      </c>
      <c r="D188" t="s">
        <v>326</v>
      </c>
      <c r="E188" s="40">
        <v>2500</v>
      </c>
    </row>
    <row r="189" spans="1:5" x14ac:dyDescent="0.3">
      <c r="A189" t="s">
        <v>327</v>
      </c>
      <c r="B189" s="40">
        <v>2900</v>
      </c>
      <c r="D189" t="s">
        <v>327</v>
      </c>
      <c r="E189" s="40">
        <v>2900</v>
      </c>
    </row>
    <row r="190" spans="1:5" x14ac:dyDescent="0.3">
      <c r="A190" t="s">
        <v>328</v>
      </c>
      <c r="B190" s="40">
        <v>3200</v>
      </c>
      <c r="D190" t="s">
        <v>328</v>
      </c>
      <c r="E190" s="40">
        <v>3200</v>
      </c>
    </row>
    <row r="191" spans="1:5" x14ac:dyDescent="0.3">
      <c r="A191" t="s">
        <v>329</v>
      </c>
      <c r="B191" s="40">
        <v>3000</v>
      </c>
      <c r="D191" t="s">
        <v>329</v>
      </c>
      <c r="E191" s="40">
        <v>3000</v>
      </c>
    </row>
    <row r="192" spans="1:5" x14ac:dyDescent="0.3">
      <c r="A192" t="s">
        <v>330</v>
      </c>
      <c r="B192" s="40">
        <v>3600</v>
      </c>
      <c r="D192" t="s">
        <v>330</v>
      </c>
      <c r="E192" s="40">
        <v>3600</v>
      </c>
    </row>
    <row r="193" spans="1:5" x14ac:dyDescent="0.3">
      <c r="A193" t="s">
        <v>331</v>
      </c>
      <c r="B193" s="40">
        <v>3900</v>
      </c>
      <c r="D193" t="s">
        <v>331</v>
      </c>
      <c r="E193" s="40">
        <v>3900</v>
      </c>
    </row>
    <row r="194" spans="1:5" x14ac:dyDescent="0.3">
      <c r="A194" t="s">
        <v>332</v>
      </c>
      <c r="B194" s="40">
        <v>3600</v>
      </c>
      <c r="D194" t="s">
        <v>332</v>
      </c>
      <c r="E194" s="40">
        <v>3600</v>
      </c>
    </row>
    <row r="195" spans="1:5" x14ac:dyDescent="0.3">
      <c r="A195" t="s">
        <v>333</v>
      </c>
      <c r="B195" s="40">
        <v>4800</v>
      </c>
      <c r="D195" t="s">
        <v>333</v>
      </c>
      <c r="E195" s="40">
        <v>4800</v>
      </c>
    </row>
    <row r="196" spans="1:5" x14ac:dyDescent="0.3">
      <c r="A196" t="s">
        <v>334</v>
      </c>
      <c r="B196" s="40">
        <v>4400</v>
      </c>
      <c r="D196" t="s">
        <v>334</v>
      </c>
      <c r="E196" s="40">
        <v>4400</v>
      </c>
    </row>
    <row r="197" spans="1:5" x14ac:dyDescent="0.3">
      <c r="A197" t="s">
        <v>335</v>
      </c>
      <c r="B197" s="40" t="s">
        <v>317</v>
      </c>
      <c r="D197" t="s">
        <v>335</v>
      </c>
      <c r="E197" s="40" t="s">
        <v>317</v>
      </c>
    </row>
    <row r="198" spans="1:5" x14ac:dyDescent="0.3">
      <c r="A198" t="s">
        <v>336</v>
      </c>
      <c r="B198" s="40">
        <v>3100</v>
      </c>
      <c r="D198" t="s">
        <v>336</v>
      </c>
      <c r="E198" s="40">
        <v>3100</v>
      </c>
    </row>
    <row r="199" spans="1:5" x14ac:dyDescent="0.3">
      <c r="A199" t="s">
        <v>337</v>
      </c>
      <c r="B199" s="40">
        <v>3300</v>
      </c>
      <c r="D199" t="s">
        <v>337</v>
      </c>
      <c r="E199" s="40">
        <v>3300</v>
      </c>
    </row>
    <row r="200" spans="1:5" x14ac:dyDescent="0.3">
      <c r="A200" t="s">
        <v>338</v>
      </c>
      <c r="B200" s="40">
        <v>3500</v>
      </c>
      <c r="D200" t="s">
        <v>338</v>
      </c>
      <c r="E200" s="40">
        <v>3500</v>
      </c>
    </row>
    <row r="201" spans="1:5" x14ac:dyDescent="0.3">
      <c r="A201" t="s">
        <v>339</v>
      </c>
      <c r="B201" s="40">
        <v>3500</v>
      </c>
      <c r="D201" t="s">
        <v>339</v>
      </c>
      <c r="E201" s="40">
        <v>3500</v>
      </c>
    </row>
    <row r="202" spans="1:5" x14ac:dyDescent="0.3">
      <c r="A202" t="s">
        <v>340</v>
      </c>
      <c r="B202" s="40">
        <v>3700</v>
      </c>
      <c r="D202" t="s">
        <v>340</v>
      </c>
      <c r="E202" s="40">
        <v>3700</v>
      </c>
    </row>
    <row r="203" spans="1:5" x14ac:dyDescent="0.3">
      <c r="A203" t="s">
        <v>341</v>
      </c>
      <c r="B203" s="40">
        <v>3900</v>
      </c>
      <c r="D203" t="s">
        <v>341</v>
      </c>
      <c r="E203" s="40">
        <v>3900</v>
      </c>
    </row>
    <row r="204" spans="1:5" x14ac:dyDescent="0.3">
      <c r="A204" t="s">
        <v>342</v>
      </c>
      <c r="B204" s="40">
        <v>4300</v>
      </c>
      <c r="D204" t="s">
        <v>342</v>
      </c>
      <c r="E204" s="40">
        <v>4300</v>
      </c>
    </row>
    <row r="205" spans="1:5" x14ac:dyDescent="0.3">
      <c r="A205" t="s">
        <v>343</v>
      </c>
      <c r="B205" s="40">
        <v>4700</v>
      </c>
      <c r="D205" t="s">
        <v>343</v>
      </c>
      <c r="E205" s="40">
        <v>4700</v>
      </c>
    </row>
    <row r="206" spans="1:5" x14ac:dyDescent="0.3">
      <c r="A206" t="s">
        <v>344</v>
      </c>
      <c r="B206" s="40">
        <v>4500</v>
      </c>
      <c r="D206" t="s">
        <v>344</v>
      </c>
      <c r="E206" s="40">
        <v>4500</v>
      </c>
    </row>
    <row r="207" spans="1:5" x14ac:dyDescent="0.3">
      <c r="A207" t="s">
        <v>540</v>
      </c>
      <c r="B207" s="40" t="s">
        <v>431</v>
      </c>
      <c r="D207" t="s">
        <v>540</v>
      </c>
      <c r="E207" s="40" t="s">
        <v>431</v>
      </c>
    </row>
    <row r="208" spans="1:5" x14ac:dyDescent="0.3">
      <c r="A208" t="s">
        <v>541</v>
      </c>
      <c r="B208" s="40">
        <v>2000</v>
      </c>
      <c r="D208" t="s">
        <v>541</v>
      </c>
      <c r="E208" s="40">
        <v>2000</v>
      </c>
    </row>
    <row r="209" spans="1:5" x14ac:dyDescent="0.3">
      <c r="A209" t="s">
        <v>542</v>
      </c>
      <c r="B209" s="40">
        <v>2500</v>
      </c>
      <c r="D209" t="s">
        <v>542</v>
      </c>
      <c r="E209" s="40">
        <v>2500</v>
      </c>
    </row>
    <row r="210" spans="1:5" x14ac:dyDescent="0.3">
      <c r="A210" t="s">
        <v>543</v>
      </c>
      <c r="B210" s="40">
        <v>2500</v>
      </c>
      <c r="D210" t="s">
        <v>543</v>
      </c>
      <c r="E210" s="40">
        <v>2500</v>
      </c>
    </row>
    <row r="211" spans="1:5" x14ac:dyDescent="0.3">
      <c r="A211" t="s">
        <v>544</v>
      </c>
      <c r="B211" s="40">
        <v>3200</v>
      </c>
      <c r="D211" t="s">
        <v>544</v>
      </c>
      <c r="E211" s="40">
        <v>3200</v>
      </c>
    </row>
    <row r="212" spans="1:5" x14ac:dyDescent="0.3">
      <c r="A212" t="s">
        <v>545</v>
      </c>
      <c r="B212" s="40">
        <v>3000</v>
      </c>
      <c r="D212" t="s">
        <v>545</v>
      </c>
      <c r="E212" s="40">
        <v>3000</v>
      </c>
    </row>
    <row r="213" spans="1:5" x14ac:dyDescent="0.3">
      <c r="A213" t="s">
        <v>546</v>
      </c>
      <c r="B213" s="40">
        <v>4000</v>
      </c>
      <c r="D213" t="s">
        <v>546</v>
      </c>
      <c r="E213" s="40">
        <v>4000</v>
      </c>
    </row>
    <row r="214" spans="1:5" x14ac:dyDescent="0.3">
      <c r="A214" t="s">
        <v>345</v>
      </c>
      <c r="B214" s="40" t="s">
        <v>346</v>
      </c>
      <c r="D214" t="s">
        <v>345</v>
      </c>
      <c r="E214" s="40" t="s">
        <v>346</v>
      </c>
    </row>
    <row r="215" spans="1:5" x14ac:dyDescent="0.3">
      <c r="A215" t="s">
        <v>347</v>
      </c>
      <c r="B215" s="40">
        <v>2400</v>
      </c>
      <c r="D215" t="s">
        <v>347</v>
      </c>
      <c r="E215" s="40">
        <v>2400</v>
      </c>
    </row>
    <row r="216" spans="1:5" x14ac:dyDescent="0.3">
      <c r="A216" t="s">
        <v>348</v>
      </c>
      <c r="B216" s="40">
        <v>3200</v>
      </c>
      <c r="D216" t="s">
        <v>348</v>
      </c>
      <c r="E216" s="40">
        <v>3200</v>
      </c>
    </row>
    <row r="217" spans="1:5" x14ac:dyDescent="0.3">
      <c r="A217" t="s">
        <v>349</v>
      </c>
      <c r="B217" s="40">
        <v>3300</v>
      </c>
      <c r="D217" t="s">
        <v>349</v>
      </c>
      <c r="E217" s="40">
        <v>3300</v>
      </c>
    </row>
    <row r="218" spans="1:5" x14ac:dyDescent="0.3">
      <c r="A218" t="s">
        <v>350</v>
      </c>
      <c r="B218" s="40">
        <v>4400</v>
      </c>
      <c r="D218" t="s">
        <v>350</v>
      </c>
      <c r="E218" s="40">
        <v>4400</v>
      </c>
    </row>
    <row r="219" spans="1:5" x14ac:dyDescent="0.3">
      <c r="A219" t="s">
        <v>351</v>
      </c>
      <c r="B219" s="40">
        <v>4000</v>
      </c>
      <c r="D219" t="s">
        <v>351</v>
      </c>
      <c r="E219" s="40">
        <v>4000</v>
      </c>
    </row>
    <row r="220" spans="1:5" x14ac:dyDescent="0.3">
      <c r="A220" t="s">
        <v>352</v>
      </c>
      <c r="B220" s="40">
        <v>5200</v>
      </c>
      <c r="D220" t="s">
        <v>352</v>
      </c>
      <c r="E220" s="40">
        <v>5200</v>
      </c>
    </row>
    <row r="221" spans="1:5" x14ac:dyDescent="0.3">
      <c r="A221" t="s">
        <v>353</v>
      </c>
      <c r="B221" s="40" t="s">
        <v>346</v>
      </c>
      <c r="D221" t="s">
        <v>353</v>
      </c>
      <c r="E221" s="40" t="s">
        <v>346</v>
      </c>
    </row>
    <row r="222" spans="1:5" x14ac:dyDescent="0.3">
      <c r="A222" t="s">
        <v>354</v>
      </c>
      <c r="B222" s="40">
        <v>3000</v>
      </c>
      <c r="D222" t="s">
        <v>354</v>
      </c>
      <c r="E222" s="40">
        <v>3000</v>
      </c>
    </row>
    <row r="223" spans="1:5" x14ac:dyDescent="0.3">
      <c r="A223" t="s">
        <v>355</v>
      </c>
      <c r="B223" s="40">
        <v>3800</v>
      </c>
      <c r="D223" t="s">
        <v>355</v>
      </c>
      <c r="E223" s="40">
        <v>3800</v>
      </c>
    </row>
    <row r="224" spans="1:5" x14ac:dyDescent="0.3">
      <c r="A224" t="s">
        <v>356</v>
      </c>
      <c r="B224" s="40">
        <v>3900</v>
      </c>
      <c r="D224" t="s">
        <v>356</v>
      </c>
      <c r="E224" s="40">
        <v>3900</v>
      </c>
    </row>
    <row r="225" spans="1:5" x14ac:dyDescent="0.3">
      <c r="A225" t="s">
        <v>357</v>
      </c>
      <c r="B225" s="40">
        <v>5000</v>
      </c>
      <c r="D225" t="s">
        <v>357</v>
      </c>
      <c r="E225" s="40">
        <v>5000</v>
      </c>
    </row>
    <row r="226" spans="1:5" x14ac:dyDescent="0.3">
      <c r="A226" t="s">
        <v>358</v>
      </c>
      <c r="B226" s="40">
        <v>4600</v>
      </c>
      <c r="D226" t="s">
        <v>358</v>
      </c>
      <c r="E226" s="40">
        <v>4600</v>
      </c>
    </row>
    <row r="227" spans="1:5" x14ac:dyDescent="0.3">
      <c r="A227" t="s">
        <v>359</v>
      </c>
      <c r="B227" s="40">
        <v>5800</v>
      </c>
      <c r="D227" t="s">
        <v>359</v>
      </c>
      <c r="E227" s="40">
        <v>5800</v>
      </c>
    </row>
    <row r="228" spans="1:5" x14ac:dyDescent="0.3">
      <c r="A228" t="s">
        <v>360</v>
      </c>
      <c r="B228" s="40" t="s">
        <v>361</v>
      </c>
      <c r="D228" t="s">
        <v>360</v>
      </c>
      <c r="E228" s="40" t="s">
        <v>361</v>
      </c>
    </row>
    <row r="229" spans="1:5" x14ac:dyDescent="0.3">
      <c r="A229" t="s">
        <v>362</v>
      </c>
      <c r="B229" s="40">
        <v>3600</v>
      </c>
      <c r="D229" t="s">
        <v>362</v>
      </c>
      <c r="E229" s="40">
        <v>3600</v>
      </c>
    </row>
    <row r="230" spans="1:5" x14ac:dyDescent="0.3">
      <c r="A230" t="s">
        <v>363</v>
      </c>
      <c r="B230" s="40">
        <v>4400</v>
      </c>
      <c r="D230" t="s">
        <v>363</v>
      </c>
      <c r="E230" s="40">
        <v>4400</v>
      </c>
    </row>
    <row r="231" spans="1:5" x14ac:dyDescent="0.3">
      <c r="A231" t="s">
        <v>364</v>
      </c>
      <c r="B231" s="40" t="s">
        <v>361</v>
      </c>
      <c r="D231" t="s">
        <v>364</v>
      </c>
      <c r="E231" s="40" t="s">
        <v>361</v>
      </c>
    </row>
    <row r="232" spans="1:5" x14ac:dyDescent="0.3">
      <c r="A232" t="s">
        <v>365</v>
      </c>
      <c r="B232" s="40">
        <v>3500</v>
      </c>
      <c r="D232" t="s">
        <v>365</v>
      </c>
      <c r="E232" s="40">
        <v>3500</v>
      </c>
    </row>
    <row r="233" spans="1:5" x14ac:dyDescent="0.3">
      <c r="A233" t="s">
        <v>366</v>
      </c>
      <c r="B233" s="40">
        <v>4200</v>
      </c>
      <c r="D233" t="s">
        <v>366</v>
      </c>
      <c r="E233" s="40">
        <v>4200</v>
      </c>
    </row>
    <row r="234" spans="1:5" x14ac:dyDescent="0.3">
      <c r="A234" t="s">
        <v>367</v>
      </c>
      <c r="B234" s="40">
        <v>5000</v>
      </c>
      <c r="D234" t="s">
        <v>367</v>
      </c>
      <c r="E234" s="40">
        <v>5000</v>
      </c>
    </row>
    <row r="235" spans="1:5" x14ac:dyDescent="0.3">
      <c r="A235" t="s">
        <v>368</v>
      </c>
      <c r="B235" s="40">
        <v>4600</v>
      </c>
      <c r="D235" t="s">
        <v>368</v>
      </c>
      <c r="E235" s="40">
        <v>4600</v>
      </c>
    </row>
    <row r="236" spans="1:5" x14ac:dyDescent="0.3">
      <c r="A236" t="s">
        <v>369</v>
      </c>
      <c r="B236" s="40">
        <v>5000</v>
      </c>
      <c r="D236" t="s">
        <v>369</v>
      </c>
      <c r="E236" s="40">
        <v>5000</v>
      </c>
    </row>
    <row r="237" spans="1:5" x14ac:dyDescent="0.3">
      <c r="A237" t="s">
        <v>370</v>
      </c>
      <c r="B237" s="40">
        <v>6000</v>
      </c>
      <c r="D237" t="s">
        <v>370</v>
      </c>
      <c r="E237" s="40">
        <v>6000</v>
      </c>
    </row>
    <row r="238" spans="1:5" x14ac:dyDescent="0.3">
      <c r="A238" t="s">
        <v>371</v>
      </c>
      <c r="B238" s="40">
        <v>5000</v>
      </c>
      <c r="D238" t="s">
        <v>371</v>
      </c>
      <c r="E238" s="40">
        <v>5000</v>
      </c>
    </row>
    <row r="239" spans="1:5" x14ac:dyDescent="0.3">
      <c r="A239" t="s">
        <v>372</v>
      </c>
      <c r="B239" s="40">
        <v>7000</v>
      </c>
      <c r="D239" t="s">
        <v>372</v>
      </c>
      <c r="E239" s="40">
        <v>7000</v>
      </c>
    </row>
    <row r="240" spans="1:5" x14ac:dyDescent="0.3">
      <c r="A240" t="s">
        <v>373</v>
      </c>
      <c r="B240" s="40">
        <v>5800</v>
      </c>
      <c r="D240" t="s">
        <v>373</v>
      </c>
      <c r="E240" s="40">
        <v>5800</v>
      </c>
    </row>
    <row r="241" spans="1:5" x14ac:dyDescent="0.3">
      <c r="A241" t="s">
        <v>374</v>
      </c>
      <c r="B241" s="40" t="s">
        <v>375</v>
      </c>
      <c r="D241" t="s">
        <v>374</v>
      </c>
      <c r="E241" s="40" t="s">
        <v>375</v>
      </c>
    </row>
    <row r="242" spans="1:5" x14ac:dyDescent="0.3">
      <c r="A242" t="s">
        <v>376</v>
      </c>
      <c r="B242" s="40">
        <v>3000</v>
      </c>
      <c r="D242" t="s">
        <v>376</v>
      </c>
      <c r="E242" s="40">
        <v>3000</v>
      </c>
    </row>
    <row r="243" spans="1:5" x14ac:dyDescent="0.3">
      <c r="A243" t="s">
        <v>377</v>
      </c>
      <c r="B243" s="40">
        <v>3400</v>
      </c>
      <c r="D243" t="s">
        <v>377</v>
      </c>
      <c r="E243" s="40">
        <v>3400</v>
      </c>
    </row>
    <row r="244" spans="1:5" x14ac:dyDescent="0.3">
      <c r="A244" t="s">
        <v>378</v>
      </c>
      <c r="B244" s="40">
        <v>4200</v>
      </c>
      <c r="D244" t="s">
        <v>378</v>
      </c>
      <c r="E244" s="40">
        <v>4200</v>
      </c>
    </row>
    <row r="245" spans="1:5" x14ac:dyDescent="0.3">
      <c r="A245" t="s">
        <v>379</v>
      </c>
      <c r="B245" s="40">
        <v>3500</v>
      </c>
      <c r="D245" t="s">
        <v>379</v>
      </c>
      <c r="E245" s="40">
        <v>3500</v>
      </c>
    </row>
    <row r="246" spans="1:5" x14ac:dyDescent="0.3">
      <c r="A246" t="s">
        <v>380</v>
      </c>
      <c r="B246" s="40">
        <v>4100</v>
      </c>
      <c r="D246" t="s">
        <v>380</v>
      </c>
      <c r="E246" s="40">
        <v>4100</v>
      </c>
    </row>
    <row r="247" spans="1:5" x14ac:dyDescent="0.3">
      <c r="A247" t="s">
        <v>381</v>
      </c>
      <c r="B247" s="40">
        <v>5300</v>
      </c>
      <c r="D247" t="s">
        <v>381</v>
      </c>
      <c r="E247" s="40">
        <v>5300</v>
      </c>
    </row>
    <row r="248" spans="1:5" x14ac:dyDescent="0.3">
      <c r="A248" t="s">
        <v>382</v>
      </c>
      <c r="B248" s="40">
        <v>5600</v>
      </c>
      <c r="D248" t="s">
        <v>382</v>
      </c>
      <c r="E248" s="40">
        <v>5600</v>
      </c>
    </row>
    <row r="249" spans="1:5" x14ac:dyDescent="0.3">
      <c r="A249" t="s">
        <v>383</v>
      </c>
      <c r="B249" s="40">
        <v>8000</v>
      </c>
      <c r="D249" t="s">
        <v>383</v>
      </c>
      <c r="E249" s="40">
        <v>8000</v>
      </c>
    </row>
    <row r="250" spans="1:5" x14ac:dyDescent="0.3">
      <c r="A250" t="s">
        <v>384</v>
      </c>
      <c r="B250" s="40">
        <v>6400</v>
      </c>
      <c r="D250" t="s">
        <v>384</v>
      </c>
      <c r="E250" s="40">
        <v>6400</v>
      </c>
    </row>
    <row r="251" spans="1:5" x14ac:dyDescent="0.3">
      <c r="A251" t="s">
        <v>385</v>
      </c>
      <c r="B251" s="40" t="s">
        <v>375</v>
      </c>
      <c r="D251" t="s">
        <v>385</v>
      </c>
      <c r="E251" s="40" t="s">
        <v>375</v>
      </c>
    </row>
    <row r="252" spans="1:5" x14ac:dyDescent="0.3">
      <c r="A252" t="s">
        <v>386</v>
      </c>
      <c r="B252" s="40">
        <v>3500</v>
      </c>
      <c r="D252" t="s">
        <v>386</v>
      </c>
      <c r="E252" s="40">
        <v>3500</v>
      </c>
    </row>
    <row r="253" spans="1:5" x14ac:dyDescent="0.3">
      <c r="A253" t="s">
        <v>387</v>
      </c>
      <c r="B253" s="40">
        <v>3900</v>
      </c>
      <c r="D253" t="s">
        <v>387</v>
      </c>
      <c r="E253" s="40">
        <v>3900</v>
      </c>
    </row>
    <row r="254" spans="1:5" x14ac:dyDescent="0.3">
      <c r="A254" t="s">
        <v>388</v>
      </c>
      <c r="B254" s="40">
        <v>4700</v>
      </c>
      <c r="D254" t="s">
        <v>388</v>
      </c>
      <c r="E254" s="40">
        <v>4700</v>
      </c>
    </row>
    <row r="255" spans="1:5" x14ac:dyDescent="0.3">
      <c r="A255" t="s">
        <v>389</v>
      </c>
      <c r="B255" s="40">
        <v>5600</v>
      </c>
      <c r="D255" t="s">
        <v>389</v>
      </c>
      <c r="E255" s="40">
        <v>5600</v>
      </c>
    </row>
    <row r="256" spans="1:5" x14ac:dyDescent="0.3">
      <c r="A256" t="s">
        <v>390</v>
      </c>
      <c r="B256" s="40">
        <v>8000</v>
      </c>
      <c r="D256" t="s">
        <v>390</v>
      </c>
      <c r="E256" s="40">
        <v>8000</v>
      </c>
    </row>
    <row r="257" spans="1:5" x14ac:dyDescent="0.3">
      <c r="A257" t="s">
        <v>391</v>
      </c>
      <c r="B257" s="40">
        <v>6400</v>
      </c>
      <c r="D257" t="s">
        <v>391</v>
      </c>
      <c r="E257" s="40">
        <v>6400</v>
      </c>
    </row>
    <row r="258" spans="1:5" x14ac:dyDescent="0.3">
      <c r="A258" t="s">
        <v>392</v>
      </c>
      <c r="B258" s="40" t="s">
        <v>393</v>
      </c>
      <c r="D258" t="s">
        <v>392</v>
      </c>
      <c r="E258" s="40" t="s">
        <v>393</v>
      </c>
    </row>
    <row r="259" spans="1:5" x14ac:dyDescent="0.3">
      <c r="A259" t="s">
        <v>394</v>
      </c>
      <c r="B259" s="40">
        <v>3500</v>
      </c>
      <c r="D259" t="s">
        <v>394</v>
      </c>
      <c r="E259" s="40">
        <v>3500</v>
      </c>
    </row>
    <row r="260" spans="1:5" x14ac:dyDescent="0.3">
      <c r="A260" t="s">
        <v>395</v>
      </c>
      <c r="B260" s="40">
        <v>4500</v>
      </c>
      <c r="D260" t="s">
        <v>395</v>
      </c>
      <c r="E260" s="40">
        <v>4500</v>
      </c>
    </row>
    <row r="261" spans="1:5" x14ac:dyDescent="0.3">
      <c r="A261" t="s">
        <v>396</v>
      </c>
      <c r="B261" s="40">
        <v>5600</v>
      </c>
      <c r="D261" t="s">
        <v>396</v>
      </c>
      <c r="E261" s="40">
        <v>5600</v>
      </c>
    </row>
    <row r="262" spans="1:5" x14ac:dyDescent="0.3">
      <c r="A262" t="s">
        <v>397</v>
      </c>
      <c r="B262" s="40" t="s">
        <v>393</v>
      </c>
      <c r="D262" t="s">
        <v>397</v>
      </c>
      <c r="E262" s="40" t="s">
        <v>393</v>
      </c>
    </row>
    <row r="263" spans="1:5" x14ac:dyDescent="0.3">
      <c r="A263" t="s">
        <v>398</v>
      </c>
      <c r="B263" s="40">
        <v>2500</v>
      </c>
      <c r="D263" t="s">
        <v>398</v>
      </c>
      <c r="E263" s="40">
        <v>2500</v>
      </c>
    </row>
    <row r="264" spans="1:5" x14ac:dyDescent="0.3">
      <c r="A264" t="s">
        <v>399</v>
      </c>
      <c r="B264" s="40">
        <v>3300</v>
      </c>
      <c r="D264" t="s">
        <v>399</v>
      </c>
      <c r="E264" s="40">
        <v>3300</v>
      </c>
    </row>
    <row r="265" spans="1:5" x14ac:dyDescent="0.3">
      <c r="A265" t="s">
        <v>400</v>
      </c>
      <c r="B265" s="40">
        <v>3000</v>
      </c>
      <c r="D265" t="s">
        <v>400</v>
      </c>
      <c r="E265" s="40">
        <v>3000</v>
      </c>
    </row>
    <row r="266" spans="1:5" x14ac:dyDescent="0.3">
      <c r="A266" t="s">
        <v>401</v>
      </c>
      <c r="B266" s="40">
        <v>4200</v>
      </c>
      <c r="D266" t="s">
        <v>401</v>
      </c>
      <c r="E266" s="40">
        <v>4200</v>
      </c>
    </row>
    <row r="267" spans="1:5" x14ac:dyDescent="0.3">
      <c r="A267" t="s">
        <v>402</v>
      </c>
      <c r="B267" s="40">
        <v>4000</v>
      </c>
      <c r="D267" t="s">
        <v>402</v>
      </c>
      <c r="E267" s="40">
        <v>4000</v>
      </c>
    </row>
    <row r="268" spans="1:5" x14ac:dyDescent="0.3">
      <c r="A268" t="s">
        <v>403</v>
      </c>
      <c r="B268" s="40">
        <v>5600</v>
      </c>
      <c r="D268" t="s">
        <v>403</v>
      </c>
      <c r="E268" s="40">
        <v>5600</v>
      </c>
    </row>
    <row r="269" spans="1:5" x14ac:dyDescent="0.3">
      <c r="A269" t="s">
        <v>404</v>
      </c>
      <c r="B269" s="40" t="s">
        <v>393</v>
      </c>
      <c r="D269" t="s">
        <v>404</v>
      </c>
      <c r="E269" s="40" t="s">
        <v>393</v>
      </c>
    </row>
    <row r="270" spans="1:5" x14ac:dyDescent="0.3">
      <c r="A270" t="s">
        <v>405</v>
      </c>
      <c r="B270" s="40">
        <v>2500</v>
      </c>
      <c r="D270" t="s">
        <v>405</v>
      </c>
      <c r="E270" s="40">
        <v>2500</v>
      </c>
    </row>
    <row r="271" spans="1:5" x14ac:dyDescent="0.3">
      <c r="A271" t="s">
        <v>406</v>
      </c>
      <c r="B271" s="40">
        <v>3200</v>
      </c>
      <c r="D271" t="s">
        <v>406</v>
      </c>
      <c r="E271" s="40">
        <v>3200</v>
      </c>
    </row>
    <row r="272" spans="1:5" x14ac:dyDescent="0.3">
      <c r="A272" t="s">
        <v>407</v>
      </c>
      <c r="B272" s="40">
        <v>3000</v>
      </c>
      <c r="D272" t="s">
        <v>407</v>
      </c>
      <c r="E272" s="40">
        <v>3000</v>
      </c>
    </row>
    <row r="273" spans="1:5" x14ac:dyDescent="0.3">
      <c r="A273" t="s">
        <v>408</v>
      </c>
      <c r="B273" s="40">
        <v>4200</v>
      </c>
      <c r="D273" t="s">
        <v>408</v>
      </c>
      <c r="E273" s="40">
        <v>4200</v>
      </c>
    </row>
    <row r="274" spans="1:5" x14ac:dyDescent="0.3">
      <c r="A274" t="s">
        <v>409</v>
      </c>
      <c r="B274" s="40">
        <v>4000</v>
      </c>
      <c r="D274" t="s">
        <v>409</v>
      </c>
      <c r="E274" s="40">
        <v>4000</v>
      </c>
    </row>
    <row r="275" spans="1:5" x14ac:dyDescent="0.3">
      <c r="A275" t="s">
        <v>410</v>
      </c>
      <c r="B275" s="40">
        <v>5600</v>
      </c>
      <c r="D275" t="s">
        <v>410</v>
      </c>
      <c r="E275" s="40">
        <v>5600</v>
      </c>
    </row>
    <row r="276" spans="1:5" x14ac:dyDescent="0.3">
      <c r="A276" t="s">
        <v>411</v>
      </c>
      <c r="B276" s="40" t="s">
        <v>375</v>
      </c>
      <c r="D276" t="s">
        <v>411</v>
      </c>
      <c r="E276" s="40" t="s">
        <v>375</v>
      </c>
    </row>
    <row r="277" spans="1:5" x14ac:dyDescent="0.3">
      <c r="A277" t="s">
        <v>412</v>
      </c>
      <c r="B277" s="40">
        <v>6000</v>
      </c>
      <c r="D277" t="s">
        <v>412</v>
      </c>
      <c r="E277" s="40">
        <v>6000</v>
      </c>
    </row>
    <row r="278" spans="1:5" x14ac:dyDescent="0.3">
      <c r="A278" t="s">
        <v>413</v>
      </c>
      <c r="B278" s="40">
        <v>6500</v>
      </c>
      <c r="D278" t="s">
        <v>413</v>
      </c>
      <c r="E278" s="40">
        <v>6500</v>
      </c>
    </row>
    <row r="279" spans="1:5" x14ac:dyDescent="0.3">
      <c r="A279" t="s">
        <v>414</v>
      </c>
      <c r="B279" s="40">
        <v>7000</v>
      </c>
      <c r="D279" t="s">
        <v>414</v>
      </c>
      <c r="E279" s="40">
        <v>7000</v>
      </c>
    </row>
    <row r="280" spans="1:5" x14ac:dyDescent="0.3">
      <c r="A280" t="s">
        <v>415</v>
      </c>
      <c r="B280" s="40">
        <v>6800</v>
      </c>
      <c r="D280" t="s">
        <v>415</v>
      </c>
      <c r="E280" s="40">
        <v>6800</v>
      </c>
    </row>
    <row r="281" spans="1:5" x14ac:dyDescent="0.3">
      <c r="A281" t="s">
        <v>416</v>
      </c>
      <c r="B281" s="40">
        <v>7050</v>
      </c>
      <c r="D281" t="s">
        <v>416</v>
      </c>
      <c r="E281" s="40">
        <v>7050</v>
      </c>
    </row>
    <row r="282" spans="1:5" x14ac:dyDescent="0.3">
      <c r="A282" t="s">
        <v>417</v>
      </c>
      <c r="B282" s="40">
        <v>7400</v>
      </c>
      <c r="D282" t="s">
        <v>417</v>
      </c>
      <c r="E282" s="40">
        <v>7400</v>
      </c>
    </row>
    <row r="283" spans="1:5" x14ac:dyDescent="0.3">
      <c r="A283" t="s">
        <v>418</v>
      </c>
      <c r="B283" s="40" t="s">
        <v>419</v>
      </c>
      <c r="D283" t="s">
        <v>418</v>
      </c>
      <c r="E283" s="40" t="s">
        <v>419</v>
      </c>
    </row>
    <row r="284" spans="1:5" x14ac:dyDescent="0.3">
      <c r="A284" t="s">
        <v>420</v>
      </c>
      <c r="B284" s="40">
        <v>4000</v>
      </c>
      <c r="D284" t="s">
        <v>420</v>
      </c>
      <c r="E284" s="40">
        <v>4000</v>
      </c>
    </row>
    <row r="285" spans="1:5" x14ac:dyDescent="0.3">
      <c r="A285" t="s">
        <v>421</v>
      </c>
      <c r="B285" s="40">
        <v>4400</v>
      </c>
      <c r="D285" t="s">
        <v>421</v>
      </c>
      <c r="E285" s="40">
        <v>4400</v>
      </c>
    </row>
    <row r="286" spans="1:5" x14ac:dyDescent="0.3">
      <c r="A286" t="s">
        <v>422</v>
      </c>
      <c r="B286" s="40">
        <v>4600</v>
      </c>
      <c r="D286" t="s">
        <v>422</v>
      </c>
      <c r="E286" s="40">
        <v>4600</v>
      </c>
    </row>
    <row r="287" spans="1:5" x14ac:dyDescent="0.3">
      <c r="A287" t="s">
        <v>423</v>
      </c>
      <c r="B287" s="40">
        <v>3600</v>
      </c>
      <c r="D287" t="s">
        <v>423</v>
      </c>
      <c r="E287" s="40">
        <v>3600</v>
      </c>
    </row>
    <row r="288" spans="1:5" x14ac:dyDescent="0.3">
      <c r="A288" t="s">
        <v>424</v>
      </c>
      <c r="B288" s="40">
        <v>4500</v>
      </c>
      <c r="D288" t="s">
        <v>424</v>
      </c>
      <c r="E288" s="40">
        <v>4500</v>
      </c>
    </row>
    <row r="289" spans="1:5" x14ac:dyDescent="0.3">
      <c r="A289" t="s">
        <v>425</v>
      </c>
      <c r="B289" s="40">
        <v>4800</v>
      </c>
      <c r="D289" t="s">
        <v>425</v>
      </c>
      <c r="E289" s="40">
        <v>4800</v>
      </c>
    </row>
    <row r="290" spans="1:5" x14ac:dyDescent="0.3">
      <c r="A290" t="s">
        <v>426</v>
      </c>
      <c r="B290" s="40">
        <v>4800</v>
      </c>
      <c r="D290" t="s">
        <v>426</v>
      </c>
      <c r="E290" s="40">
        <v>4800</v>
      </c>
    </row>
    <row r="291" spans="1:5" x14ac:dyDescent="0.3">
      <c r="A291" t="s">
        <v>427</v>
      </c>
      <c r="B291" s="40">
        <v>6400</v>
      </c>
      <c r="D291" t="s">
        <v>427</v>
      </c>
      <c r="E291" s="40">
        <v>6400</v>
      </c>
    </row>
    <row r="292" spans="1:5" x14ac:dyDescent="0.3">
      <c r="A292" t="s">
        <v>428</v>
      </c>
      <c r="B292" s="40">
        <v>6000</v>
      </c>
      <c r="D292" t="s">
        <v>428</v>
      </c>
      <c r="E292" s="40">
        <v>6000</v>
      </c>
    </row>
    <row r="293" spans="1:5" x14ac:dyDescent="0.3">
      <c r="A293" t="s">
        <v>442</v>
      </c>
      <c r="B293" s="40" t="s">
        <v>324</v>
      </c>
      <c r="D293" t="s">
        <v>442</v>
      </c>
      <c r="E293" s="40" t="s">
        <v>324</v>
      </c>
    </row>
    <row r="294" spans="1:5" x14ac:dyDescent="0.3">
      <c r="A294" t="s">
        <v>443</v>
      </c>
      <c r="B294" s="40">
        <v>2940</v>
      </c>
      <c r="D294" t="s">
        <v>443</v>
      </c>
      <c r="E294" s="40">
        <v>2940</v>
      </c>
    </row>
    <row r="295" spans="1:5" x14ac:dyDescent="0.3">
      <c r="A295" t="s">
        <v>444</v>
      </c>
      <c r="B295" s="40">
        <v>3360</v>
      </c>
      <c r="D295" t="s">
        <v>444</v>
      </c>
      <c r="E295" s="40">
        <v>3360</v>
      </c>
    </row>
    <row r="296" spans="1:5" x14ac:dyDescent="0.3">
      <c r="A296" t="s">
        <v>445</v>
      </c>
      <c r="B296" s="40">
        <v>4043</v>
      </c>
      <c r="D296" t="s">
        <v>445</v>
      </c>
      <c r="E296" s="40">
        <v>4043</v>
      </c>
    </row>
    <row r="297" spans="1:5" x14ac:dyDescent="0.3">
      <c r="A297" t="s">
        <v>446</v>
      </c>
      <c r="B297" s="40">
        <v>3675</v>
      </c>
      <c r="D297" t="s">
        <v>446</v>
      </c>
      <c r="E297" s="40">
        <v>3675</v>
      </c>
    </row>
    <row r="298" spans="1:5" x14ac:dyDescent="0.3">
      <c r="A298" t="s">
        <v>447</v>
      </c>
      <c r="B298" s="40">
        <v>4200</v>
      </c>
      <c r="D298" t="s">
        <v>447</v>
      </c>
      <c r="E298" s="40">
        <v>4200</v>
      </c>
    </row>
    <row r="299" spans="1:5" x14ac:dyDescent="0.3">
      <c r="A299" t="s">
        <v>448</v>
      </c>
      <c r="B299" s="40">
        <v>5330</v>
      </c>
      <c r="D299" t="s">
        <v>448</v>
      </c>
      <c r="E299" s="40">
        <v>5330</v>
      </c>
    </row>
    <row r="300" spans="1:5" x14ac:dyDescent="0.3">
      <c r="A300" t="s">
        <v>449</v>
      </c>
      <c r="B300" s="40">
        <v>4725</v>
      </c>
      <c r="D300" t="s">
        <v>449</v>
      </c>
      <c r="E300" s="40">
        <v>4725</v>
      </c>
    </row>
    <row r="301" spans="1:5" x14ac:dyDescent="0.3">
      <c r="A301" t="s">
        <v>450</v>
      </c>
      <c r="B301" s="40">
        <v>6930</v>
      </c>
      <c r="D301" t="s">
        <v>450</v>
      </c>
      <c r="E301" s="40">
        <v>6930</v>
      </c>
    </row>
    <row r="302" spans="1:5" x14ac:dyDescent="0.3">
      <c r="A302" t="s">
        <v>451</v>
      </c>
      <c r="B302" s="40">
        <v>5460</v>
      </c>
      <c r="D302" t="s">
        <v>451</v>
      </c>
      <c r="E302" s="40">
        <v>5460</v>
      </c>
    </row>
    <row r="303" spans="1:5" x14ac:dyDescent="0.3">
      <c r="A303" t="s">
        <v>452</v>
      </c>
      <c r="B303" s="40" t="s">
        <v>453</v>
      </c>
      <c r="D303" t="s">
        <v>452</v>
      </c>
      <c r="E303" s="40" t="s">
        <v>453</v>
      </c>
    </row>
    <row r="304" spans="1:5" x14ac:dyDescent="0.3">
      <c r="A304" t="s">
        <v>454</v>
      </c>
      <c r="B304" s="40">
        <v>2000</v>
      </c>
      <c r="D304" t="s">
        <v>454</v>
      </c>
      <c r="E304" s="40">
        <v>2000</v>
      </c>
    </row>
    <row r="305" spans="1:5" x14ac:dyDescent="0.3">
      <c r="A305" t="s">
        <v>455</v>
      </c>
      <c r="B305" s="40">
        <v>2300</v>
      </c>
      <c r="D305" t="s">
        <v>455</v>
      </c>
      <c r="E305" s="40">
        <v>2300</v>
      </c>
    </row>
    <row r="306" spans="1:5" x14ac:dyDescent="0.3">
      <c r="A306" t="s">
        <v>456</v>
      </c>
      <c r="B306" s="40">
        <v>3000</v>
      </c>
      <c r="D306" t="s">
        <v>456</v>
      </c>
      <c r="E306" s="40">
        <v>3000</v>
      </c>
    </row>
    <row r="307" spans="1:5" x14ac:dyDescent="0.3">
      <c r="A307" t="s">
        <v>457</v>
      </c>
      <c r="B307" s="40">
        <v>2500</v>
      </c>
      <c r="D307" t="s">
        <v>457</v>
      </c>
      <c r="E307" s="40">
        <v>2500</v>
      </c>
    </row>
    <row r="308" spans="1:5" x14ac:dyDescent="0.3">
      <c r="A308" t="s">
        <v>458</v>
      </c>
      <c r="B308" s="40">
        <v>2950</v>
      </c>
      <c r="D308" t="s">
        <v>458</v>
      </c>
      <c r="E308" s="40">
        <v>2950</v>
      </c>
    </row>
    <row r="309" spans="1:5" x14ac:dyDescent="0.3">
      <c r="A309" t="s">
        <v>459</v>
      </c>
      <c r="B309" s="40">
        <v>4000</v>
      </c>
      <c r="D309" t="s">
        <v>459</v>
      </c>
      <c r="E309" s="40">
        <v>4000</v>
      </c>
    </row>
    <row r="310" spans="1:5" x14ac:dyDescent="0.3">
      <c r="A310" t="s">
        <v>460</v>
      </c>
      <c r="B310" s="40">
        <v>3000</v>
      </c>
      <c r="D310" t="s">
        <v>460</v>
      </c>
      <c r="E310" s="40">
        <v>3000</v>
      </c>
    </row>
    <row r="311" spans="1:5" x14ac:dyDescent="0.3">
      <c r="A311" t="s">
        <v>471</v>
      </c>
      <c r="B311" s="40" t="s">
        <v>114</v>
      </c>
      <c r="D311" t="s">
        <v>471</v>
      </c>
      <c r="E311" s="40" t="s">
        <v>114</v>
      </c>
    </row>
    <row r="312" spans="1:5" x14ac:dyDescent="0.3">
      <c r="A312" t="s">
        <v>472</v>
      </c>
      <c r="B312" s="40">
        <v>2200</v>
      </c>
      <c r="D312" t="s">
        <v>472</v>
      </c>
      <c r="E312" s="40">
        <v>2200</v>
      </c>
    </row>
    <row r="313" spans="1:5" x14ac:dyDescent="0.3">
      <c r="A313" t="s">
        <v>571</v>
      </c>
      <c r="B313" s="40">
        <v>2500</v>
      </c>
      <c r="D313" t="s">
        <v>571</v>
      </c>
      <c r="E313" s="40">
        <v>2500</v>
      </c>
    </row>
    <row r="314" spans="1:5" x14ac:dyDescent="0.3">
      <c r="A314" t="s">
        <v>572</v>
      </c>
      <c r="B314" s="40">
        <v>3000</v>
      </c>
      <c r="D314" t="s">
        <v>572</v>
      </c>
      <c r="E314" s="40">
        <v>3000</v>
      </c>
    </row>
    <row r="315" spans="1:5" x14ac:dyDescent="0.3">
      <c r="A315" t="s">
        <v>573</v>
      </c>
      <c r="B315" s="40">
        <v>4200</v>
      </c>
      <c r="D315" t="s">
        <v>573</v>
      </c>
      <c r="E315" s="40">
        <v>4200</v>
      </c>
    </row>
    <row r="316" spans="1:5" x14ac:dyDescent="0.3">
      <c r="A316" t="s">
        <v>574</v>
      </c>
      <c r="B316" s="40">
        <v>4000</v>
      </c>
      <c r="D316" t="s">
        <v>574</v>
      </c>
      <c r="E316" s="40">
        <v>4000</v>
      </c>
    </row>
    <row r="317" spans="1:5" x14ac:dyDescent="0.3">
      <c r="A317" t="s">
        <v>575</v>
      </c>
      <c r="B317" s="40">
        <v>5600</v>
      </c>
      <c r="D317" t="s">
        <v>575</v>
      </c>
      <c r="E317" s="40">
        <v>5600</v>
      </c>
    </row>
    <row r="318" spans="1:5" x14ac:dyDescent="0.3">
      <c r="A318" t="s">
        <v>473</v>
      </c>
      <c r="B318" s="40" t="s">
        <v>114</v>
      </c>
      <c r="D318" t="s">
        <v>473</v>
      </c>
      <c r="E318" s="40" t="s">
        <v>114</v>
      </c>
    </row>
    <row r="319" spans="1:5" x14ac:dyDescent="0.3">
      <c r="A319" t="s">
        <v>474</v>
      </c>
      <c r="B319" s="40">
        <v>2000</v>
      </c>
      <c r="D319" t="s">
        <v>474</v>
      </c>
      <c r="E319" s="40">
        <v>2000</v>
      </c>
    </row>
    <row r="320" spans="1:5" x14ac:dyDescent="0.3">
      <c r="A320" t="s">
        <v>475</v>
      </c>
      <c r="B320" s="40" t="s">
        <v>114</v>
      </c>
      <c r="D320" t="s">
        <v>475</v>
      </c>
      <c r="E320" s="40" t="s">
        <v>114</v>
      </c>
    </row>
    <row r="321" spans="1:5" x14ac:dyDescent="0.3">
      <c r="A321" t="s">
        <v>476</v>
      </c>
      <c r="B321" s="40" t="s">
        <v>462</v>
      </c>
      <c r="D321" t="s">
        <v>476</v>
      </c>
      <c r="E321" s="40" t="s">
        <v>462</v>
      </c>
    </row>
    <row r="322" spans="1:5" x14ac:dyDescent="0.3">
      <c r="A322" t="s">
        <v>477</v>
      </c>
      <c r="B322" s="40">
        <v>1000</v>
      </c>
      <c r="D322" t="s">
        <v>477</v>
      </c>
      <c r="E322" s="40">
        <v>1000</v>
      </c>
    </row>
    <row r="323" spans="1:5" x14ac:dyDescent="0.3">
      <c r="A323" t="s">
        <v>478</v>
      </c>
      <c r="B323" s="40">
        <v>2000</v>
      </c>
      <c r="D323" t="s">
        <v>478</v>
      </c>
      <c r="E323" s="40">
        <v>2000</v>
      </c>
    </row>
    <row r="324" spans="1:5" x14ac:dyDescent="0.3">
      <c r="A324" t="s">
        <v>479</v>
      </c>
      <c r="B324" s="40">
        <v>1500</v>
      </c>
      <c r="D324" t="s">
        <v>479</v>
      </c>
      <c r="E324" s="40">
        <v>1500</v>
      </c>
    </row>
    <row r="325" spans="1:5" x14ac:dyDescent="0.3">
      <c r="A325" t="s">
        <v>480</v>
      </c>
      <c r="B325" s="40">
        <v>3500</v>
      </c>
      <c r="D325" t="s">
        <v>480</v>
      </c>
      <c r="E325" s="40">
        <v>3500</v>
      </c>
    </row>
    <row r="326" spans="1:5" x14ac:dyDescent="0.3">
      <c r="A326" t="s">
        <v>481</v>
      </c>
      <c r="B326" s="40">
        <v>2500</v>
      </c>
      <c r="D326" t="s">
        <v>481</v>
      </c>
      <c r="E326" s="40">
        <v>2500</v>
      </c>
    </row>
    <row r="327" spans="1:5" x14ac:dyDescent="0.3">
      <c r="A327" t="s">
        <v>482</v>
      </c>
      <c r="B327" s="40">
        <v>4500</v>
      </c>
      <c r="D327" t="s">
        <v>482</v>
      </c>
      <c r="E327" s="40">
        <v>4500</v>
      </c>
    </row>
    <row r="328" spans="1:5" x14ac:dyDescent="0.3">
      <c r="A328" t="s">
        <v>483</v>
      </c>
      <c r="B328" s="40" t="s">
        <v>453</v>
      </c>
      <c r="D328" t="s">
        <v>483</v>
      </c>
      <c r="E328" s="40" t="s">
        <v>453</v>
      </c>
    </row>
    <row r="329" spans="1:5" x14ac:dyDescent="0.3">
      <c r="A329" t="s">
        <v>484</v>
      </c>
      <c r="B329" s="40">
        <v>2500</v>
      </c>
      <c r="D329" t="s">
        <v>484</v>
      </c>
      <c r="E329" s="40">
        <v>2500</v>
      </c>
    </row>
    <row r="330" spans="1:5" x14ac:dyDescent="0.3">
      <c r="A330" t="s">
        <v>485</v>
      </c>
      <c r="B330" s="40">
        <v>2900</v>
      </c>
      <c r="D330" t="s">
        <v>485</v>
      </c>
      <c r="E330" s="40">
        <v>2900</v>
      </c>
    </row>
    <row r="331" spans="1:5" x14ac:dyDescent="0.3">
      <c r="A331" t="s">
        <v>486</v>
      </c>
      <c r="B331" s="40">
        <v>3500</v>
      </c>
      <c r="D331" t="s">
        <v>486</v>
      </c>
      <c r="E331" s="40">
        <v>3500</v>
      </c>
    </row>
    <row r="332" spans="1:5" x14ac:dyDescent="0.3">
      <c r="A332" t="s">
        <v>487</v>
      </c>
      <c r="B332" s="40">
        <v>3300</v>
      </c>
      <c r="D332" t="s">
        <v>487</v>
      </c>
      <c r="E332" s="40">
        <v>3300</v>
      </c>
    </row>
    <row r="333" spans="1:5" x14ac:dyDescent="0.3">
      <c r="A333" t="s">
        <v>488</v>
      </c>
      <c r="B333" s="40">
        <v>3900</v>
      </c>
      <c r="D333" t="s">
        <v>488</v>
      </c>
      <c r="E333" s="40">
        <v>3900</v>
      </c>
    </row>
    <row r="334" spans="1:5" x14ac:dyDescent="0.3">
      <c r="A334" t="s">
        <v>489</v>
      </c>
      <c r="B334" s="40">
        <v>4800</v>
      </c>
      <c r="D334" t="s">
        <v>489</v>
      </c>
      <c r="E334" s="40">
        <v>4800</v>
      </c>
    </row>
    <row r="335" spans="1:5" x14ac:dyDescent="0.3">
      <c r="A335" t="s">
        <v>490</v>
      </c>
      <c r="B335" s="40">
        <v>4100</v>
      </c>
      <c r="D335" t="s">
        <v>490</v>
      </c>
      <c r="E335" s="40">
        <v>4100</v>
      </c>
    </row>
    <row r="336" spans="1:5" x14ac:dyDescent="0.3">
      <c r="A336" t="s">
        <v>491</v>
      </c>
      <c r="B336" s="40">
        <v>6100</v>
      </c>
      <c r="D336" t="s">
        <v>491</v>
      </c>
      <c r="E336" s="40">
        <v>6100</v>
      </c>
    </row>
    <row r="337" spans="1:5" x14ac:dyDescent="0.3">
      <c r="A337" t="s">
        <v>492</v>
      </c>
      <c r="B337" s="40">
        <v>4900</v>
      </c>
      <c r="D337" t="s">
        <v>492</v>
      </c>
      <c r="E337" s="40">
        <v>4900</v>
      </c>
    </row>
    <row r="338" spans="1:5" x14ac:dyDescent="0.3">
      <c r="A338" t="s">
        <v>547</v>
      </c>
      <c r="B338" s="40" t="s">
        <v>453</v>
      </c>
      <c r="D338" t="s">
        <v>547</v>
      </c>
      <c r="E338" s="40" t="s">
        <v>453</v>
      </c>
    </row>
    <row r="339" spans="1:5" x14ac:dyDescent="0.3">
      <c r="A339" t="s">
        <v>548</v>
      </c>
      <c r="B339" s="40">
        <v>3000</v>
      </c>
      <c r="D339" t="s">
        <v>548</v>
      </c>
      <c r="E339" s="40">
        <v>3000</v>
      </c>
    </row>
    <row r="340" spans="1:5" x14ac:dyDescent="0.3">
      <c r="A340" t="s">
        <v>549</v>
      </c>
      <c r="B340" s="40">
        <v>3400</v>
      </c>
      <c r="D340" t="s">
        <v>549</v>
      </c>
      <c r="E340" s="40">
        <v>3400</v>
      </c>
    </row>
    <row r="341" spans="1:5" x14ac:dyDescent="0.3">
      <c r="A341" t="s">
        <v>550</v>
      </c>
      <c r="B341" s="40">
        <v>4000</v>
      </c>
      <c r="D341" t="s">
        <v>550</v>
      </c>
      <c r="E341" s="40">
        <v>4000</v>
      </c>
    </row>
    <row r="342" spans="1:5" x14ac:dyDescent="0.3">
      <c r="A342" t="s">
        <v>551</v>
      </c>
      <c r="B342" s="40">
        <v>5000</v>
      </c>
      <c r="D342" t="s">
        <v>551</v>
      </c>
      <c r="E342" s="40">
        <v>5000</v>
      </c>
    </row>
    <row r="343" spans="1:5" x14ac:dyDescent="0.3">
      <c r="A343" t="s">
        <v>552</v>
      </c>
      <c r="B343" s="40">
        <v>7000</v>
      </c>
      <c r="D343" t="s">
        <v>552</v>
      </c>
      <c r="E343" s="40">
        <v>7000</v>
      </c>
    </row>
    <row r="344" spans="1:5" x14ac:dyDescent="0.3">
      <c r="A344" t="s">
        <v>553</v>
      </c>
      <c r="B344" s="40">
        <v>5800</v>
      </c>
      <c r="D344" t="s">
        <v>553</v>
      </c>
      <c r="E344" s="40">
        <v>5800</v>
      </c>
    </row>
    <row r="345" spans="1:5" x14ac:dyDescent="0.3">
      <c r="A345" t="s">
        <v>554</v>
      </c>
      <c r="B345" s="40" t="s">
        <v>495</v>
      </c>
      <c r="D345" t="s">
        <v>554</v>
      </c>
      <c r="E345" s="40" t="s">
        <v>495</v>
      </c>
    </row>
    <row r="346" spans="1:5" x14ac:dyDescent="0.3">
      <c r="A346" t="s">
        <v>555</v>
      </c>
      <c r="B346" s="40">
        <v>3000</v>
      </c>
      <c r="D346" t="s">
        <v>555</v>
      </c>
      <c r="E346" s="40">
        <v>3000</v>
      </c>
    </row>
    <row r="347" spans="1:5" x14ac:dyDescent="0.3">
      <c r="A347" t="s">
        <v>556</v>
      </c>
      <c r="B347" s="40">
        <v>3400</v>
      </c>
      <c r="D347" t="s">
        <v>556</v>
      </c>
      <c r="E347" s="40">
        <v>3400</v>
      </c>
    </row>
    <row r="348" spans="1:5" x14ac:dyDescent="0.3">
      <c r="A348" t="s">
        <v>557</v>
      </c>
      <c r="B348" s="40">
        <v>4000</v>
      </c>
      <c r="D348" t="s">
        <v>557</v>
      </c>
      <c r="E348" s="40">
        <v>4000</v>
      </c>
    </row>
    <row r="349" spans="1:5" x14ac:dyDescent="0.3">
      <c r="A349" t="s">
        <v>558</v>
      </c>
      <c r="B349" s="40">
        <v>4000</v>
      </c>
      <c r="D349" t="s">
        <v>558</v>
      </c>
      <c r="E349" s="40">
        <v>4000</v>
      </c>
    </row>
    <row r="350" spans="1:5" x14ac:dyDescent="0.3">
      <c r="A350" t="s">
        <v>559</v>
      </c>
      <c r="B350" s="40">
        <v>4600</v>
      </c>
      <c r="D350" t="s">
        <v>559</v>
      </c>
      <c r="E350" s="40">
        <v>4600</v>
      </c>
    </row>
    <row r="351" spans="1:5" x14ac:dyDescent="0.3">
      <c r="A351" t="s">
        <v>560</v>
      </c>
      <c r="B351" s="40">
        <v>5500</v>
      </c>
      <c r="D351" t="s">
        <v>560</v>
      </c>
      <c r="E351" s="40">
        <v>5500</v>
      </c>
    </row>
    <row r="352" spans="1:5" x14ac:dyDescent="0.3">
      <c r="A352" t="s">
        <v>561</v>
      </c>
      <c r="B352" s="40">
        <v>5000</v>
      </c>
      <c r="D352" t="s">
        <v>561</v>
      </c>
      <c r="E352" s="40">
        <v>5000</v>
      </c>
    </row>
    <row r="353" spans="1:5" x14ac:dyDescent="0.3">
      <c r="A353" t="s">
        <v>562</v>
      </c>
      <c r="B353" s="40">
        <v>7000</v>
      </c>
      <c r="D353" t="s">
        <v>562</v>
      </c>
      <c r="E353" s="40">
        <v>7000</v>
      </c>
    </row>
    <row r="354" spans="1:5" x14ac:dyDescent="0.3">
      <c r="A354" t="s">
        <v>563</v>
      </c>
      <c r="B354" s="40">
        <v>5800</v>
      </c>
      <c r="D354" t="s">
        <v>563</v>
      </c>
      <c r="E354" s="40">
        <v>5800</v>
      </c>
    </row>
    <row r="355" spans="1:5" x14ac:dyDescent="0.3">
      <c r="A355" t="s">
        <v>500</v>
      </c>
      <c r="B355" s="40" t="s">
        <v>461</v>
      </c>
      <c r="D355" t="s">
        <v>500</v>
      </c>
      <c r="E355" s="40" t="s">
        <v>461</v>
      </c>
    </row>
    <row r="356" spans="1:5" x14ac:dyDescent="0.3">
      <c r="A356" t="s">
        <v>501</v>
      </c>
      <c r="B356" s="40">
        <v>3500</v>
      </c>
      <c r="D356" t="s">
        <v>501</v>
      </c>
      <c r="E356" s="40">
        <v>3500</v>
      </c>
    </row>
    <row r="357" spans="1:5" x14ac:dyDescent="0.3">
      <c r="A357" t="s">
        <v>502</v>
      </c>
      <c r="B357" s="40">
        <v>5000</v>
      </c>
      <c r="D357" t="s">
        <v>502</v>
      </c>
      <c r="E357" s="40">
        <v>5000</v>
      </c>
    </row>
    <row r="358" spans="1:5" x14ac:dyDescent="0.3">
      <c r="A358" t="s">
        <v>503</v>
      </c>
      <c r="B358" s="40">
        <v>5000</v>
      </c>
      <c r="D358" t="s">
        <v>503</v>
      </c>
      <c r="E358" s="40">
        <v>5000</v>
      </c>
    </row>
    <row r="359" spans="1:5" x14ac:dyDescent="0.3">
      <c r="A359" t="s">
        <v>504</v>
      </c>
      <c r="B359" s="40">
        <v>7000</v>
      </c>
      <c r="D359" t="s">
        <v>504</v>
      </c>
      <c r="E359" s="40">
        <v>7000</v>
      </c>
    </row>
    <row r="360" spans="1:5" x14ac:dyDescent="0.3">
      <c r="A360" t="s">
        <v>505</v>
      </c>
      <c r="B360" s="40" t="s">
        <v>462</v>
      </c>
      <c r="D360" t="s">
        <v>505</v>
      </c>
      <c r="E360" s="40" t="s">
        <v>462</v>
      </c>
    </row>
    <row r="361" spans="1:5" x14ac:dyDescent="0.3">
      <c r="A361" t="s">
        <v>506</v>
      </c>
      <c r="B361" s="40">
        <v>1600</v>
      </c>
      <c r="D361" t="s">
        <v>506</v>
      </c>
      <c r="E361" s="40">
        <v>1600</v>
      </c>
    </row>
    <row r="362" spans="1:5" x14ac:dyDescent="0.3">
      <c r="A362" t="s">
        <v>507</v>
      </c>
      <c r="B362" s="40">
        <v>2200</v>
      </c>
      <c r="D362" t="s">
        <v>507</v>
      </c>
      <c r="E362" s="40">
        <v>2200</v>
      </c>
    </row>
    <row r="363" spans="1:5" x14ac:dyDescent="0.3">
      <c r="A363" t="s">
        <v>508</v>
      </c>
      <c r="B363" s="40">
        <v>2000</v>
      </c>
      <c r="D363" t="s">
        <v>508</v>
      </c>
      <c r="E363" s="40">
        <v>2000</v>
      </c>
    </row>
    <row r="364" spans="1:5" x14ac:dyDescent="0.3">
      <c r="A364" t="s">
        <v>509</v>
      </c>
      <c r="B364" s="40">
        <v>3000</v>
      </c>
      <c r="D364" t="s">
        <v>509</v>
      </c>
      <c r="E364" s="40">
        <v>3000</v>
      </c>
    </row>
    <row r="365" spans="1:5" x14ac:dyDescent="0.3">
      <c r="A365" t="s">
        <v>510</v>
      </c>
      <c r="B365" s="40">
        <v>2800</v>
      </c>
      <c r="D365" t="s">
        <v>510</v>
      </c>
      <c r="E365" s="40">
        <v>2800</v>
      </c>
    </row>
    <row r="366" spans="1:5" x14ac:dyDescent="0.3">
      <c r="A366" t="s">
        <v>511</v>
      </c>
      <c r="B366" s="40">
        <v>4000</v>
      </c>
      <c r="D366" t="s">
        <v>511</v>
      </c>
      <c r="E366" s="40">
        <v>4000</v>
      </c>
    </row>
    <row r="367" spans="1:5" x14ac:dyDescent="0.3">
      <c r="A367" t="s">
        <v>512</v>
      </c>
      <c r="B367" s="40" t="s">
        <v>317</v>
      </c>
      <c r="D367" t="s">
        <v>512</v>
      </c>
      <c r="E367" s="40" t="s">
        <v>317</v>
      </c>
    </row>
    <row r="368" spans="1:5" x14ac:dyDescent="0.3">
      <c r="A368" t="s">
        <v>513</v>
      </c>
      <c r="B368" s="40">
        <v>2500</v>
      </c>
      <c r="D368" t="s">
        <v>513</v>
      </c>
      <c r="E368" s="40">
        <v>2500</v>
      </c>
    </row>
    <row r="369" spans="1:5" x14ac:dyDescent="0.3">
      <c r="A369" t="s">
        <v>514</v>
      </c>
      <c r="B369" s="40">
        <v>2900</v>
      </c>
      <c r="D369" t="s">
        <v>514</v>
      </c>
      <c r="E369" s="40">
        <v>2900</v>
      </c>
    </row>
    <row r="370" spans="1:5" x14ac:dyDescent="0.3">
      <c r="A370" t="s">
        <v>515</v>
      </c>
      <c r="B370" s="40">
        <v>3200</v>
      </c>
      <c r="D370" t="s">
        <v>515</v>
      </c>
      <c r="E370" s="40">
        <v>3200</v>
      </c>
    </row>
    <row r="371" spans="1:5" x14ac:dyDescent="0.3">
      <c r="A371" t="s">
        <v>516</v>
      </c>
      <c r="B371" s="40">
        <v>3000</v>
      </c>
      <c r="D371" t="s">
        <v>516</v>
      </c>
      <c r="E371" s="40">
        <v>3000</v>
      </c>
    </row>
    <row r="372" spans="1:5" x14ac:dyDescent="0.3">
      <c r="A372" t="s">
        <v>517</v>
      </c>
      <c r="B372" s="40">
        <v>3600</v>
      </c>
      <c r="D372" t="s">
        <v>517</v>
      </c>
      <c r="E372" s="40">
        <v>3600</v>
      </c>
    </row>
    <row r="373" spans="1:5" x14ac:dyDescent="0.3">
      <c r="A373" t="s">
        <v>518</v>
      </c>
      <c r="B373" s="40">
        <v>3900</v>
      </c>
      <c r="D373" t="s">
        <v>518</v>
      </c>
      <c r="E373" s="40">
        <v>3900</v>
      </c>
    </row>
    <row r="374" spans="1:5" x14ac:dyDescent="0.3">
      <c r="A374" t="s">
        <v>519</v>
      </c>
      <c r="B374" s="40">
        <v>3600</v>
      </c>
      <c r="D374" t="s">
        <v>519</v>
      </c>
      <c r="E374" s="40">
        <v>3600</v>
      </c>
    </row>
    <row r="375" spans="1:5" x14ac:dyDescent="0.3">
      <c r="A375" t="s">
        <v>520</v>
      </c>
      <c r="B375" s="40">
        <v>4800</v>
      </c>
      <c r="D375" t="s">
        <v>520</v>
      </c>
      <c r="E375" s="40">
        <v>4800</v>
      </c>
    </row>
    <row r="376" spans="1:5" x14ac:dyDescent="0.3">
      <c r="A376" t="s">
        <v>521</v>
      </c>
      <c r="B376" s="40">
        <v>4400</v>
      </c>
      <c r="D376" t="s">
        <v>521</v>
      </c>
      <c r="E376" s="40">
        <v>4400</v>
      </c>
    </row>
    <row r="377" spans="1:5" x14ac:dyDescent="0.3">
      <c r="A377" t="s">
        <v>522</v>
      </c>
      <c r="B377" s="40" t="s">
        <v>419</v>
      </c>
      <c r="D377" t="s">
        <v>522</v>
      </c>
      <c r="E377" s="40" t="s">
        <v>419</v>
      </c>
    </row>
    <row r="378" spans="1:5" x14ac:dyDescent="0.3">
      <c r="A378" t="s">
        <v>523</v>
      </c>
      <c r="B378" s="40">
        <v>4000</v>
      </c>
      <c r="D378" t="s">
        <v>523</v>
      </c>
      <c r="E378" s="40">
        <v>4000</v>
      </c>
    </row>
    <row r="379" spans="1:5" x14ac:dyDescent="0.3">
      <c r="A379" t="s">
        <v>524</v>
      </c>
      <c r="B379" s="40">
        <v>4400</v>
      </c>
      <c r="D379" t="s">
        <v>524</v>
      </c>
      <c r="E379" s="40">
        <v>4400</v>
      </c>
    </row>
    <row r="380" spans="1:5" x14ac:dyDescent="0.3">
      <c r="A380" t="s">
        <v>525</v>
      </c>
      <c r="B380" s="40">
        <v>4600</v>
      </c>
      <c r="D380" t="s">
        <v>525</v>
      </c>
      <c r="E380" s="40">
        <v>4600</v>
      </c>
    </row>
    <row r="381" spans="1:5" x14ac:dyDescent="0.3">
      <c r="A381" t="s">
        <v>526</v>
      </c>
      <c r="B381" s="40">
        <v>3600</v>
      </c>
      <c r="D381" t="s">
        <v>526</v>
      </c>
      <c r="E381" s="40">
        <v>3600</v>
      </c>
    </row>
    <row r="382" spans="1:5" x14ac:dyDescent="0.3">
      <c r="A382" t="s">
        <v>527</v>
      </c>
      <c r="B382" s="40">
        <v>4500</v>
      </c>
      <c r="D382" t="s">
        <v>527</v>
      </c>
      <c r="E382" s="40">
        <v>4500</v>
      </c>
    </row>
    <row r="383" spans="1:5" x14ac:dyDescent="0.3">
      <c r="A383" t="s">
        <v>528</v>
      </c>
      <c r="B383" s="40">
        <v>4800</v>
      </c>
      <c r="D383" t="s">
        <v>528</v>
      </c>
      <c r="E383" s="40">
        <v>4800</v>
      </c>
    </row>
    <row r="384" spans="1:5" x14ac:dyDescent="0.3">
      <c r="A384" t="s">
        <v>529</v>
      </c>
      <c r="B384" s="40">
        <v>4800</v>
      </c>
      <c r="D384" t="s">
        <v>529</v>
      </c>
      <c r="E384" s="40">
        <v>4800</v>
      </c>
    </row>
    <row r="385" spans="1:5" x14ac:dyDescent="0.3">
      <c r="A385" t="s">
        <v>530</v>
      </c>
      <c r="B385" s="40">
        <v>6400</v>
      </c>
      <c r="D385" t="s">
        <v>530</v>
      </c>
      <c r="E385" s="40">
        <v>6400</v>
      </c>
    </row>
    <row r="386" spans="1:5" x14ac:dyDescent="0.3">
      <c r="A386" t="s">
        <v>531</v>
      </c>
      <c r="B386" s="40">
        <v>6000</v>
      </c>
      <c r="D386" t="s">
        <v>531</v>
      </c>
      <c r="E386" s="40">
        <v>6000</v>
      </c>
    </row>
    <row r="387" spans="1:5" x14ac:dyDescent="0.3">
      <c r="A387" t="s">
        <v>564</v>
      </c>
      <c r="B387" s="40" t="s">
        <v>431</v>
      </c>
      <c r="D387" t="s">
        <v>564</v>
      </c>
      <c r="E387" s="40" t="s">
        <v>431</v>
      </c>
    </row>
    <row r="388" spans="1:5" x14ac:dyDescent="0.3">
      <c r="A388" t="s">
        <v>565</v>
      </c>
      <c r="B388" s="40">
        <v>2000</v>
      </c>
      <c r="D388" t="s">
        <v>565</v>
      </c>
      <c r="E388" s="40">
        <v>2000</v>
      </c>
    </row>
    <row r="389" spans="1:5" x14ac:dyDescent="0.3">
      <c r="A389" t="s">
        <v>566</v>
      </c>
      <c r="B389" s="40">
        <v>2500</v>
      </c>
      <c r="D389" t="s">
        <v>566</v>
      </c>
      <c r="E389" s="40">
        <v>2500</v>
      </c>
    </row>
    <row r="390" spans="1:5" x14ac:dyDescent="0.3">
      <c r="A390" t="s">
        <v>567</v>
      </c>
      <c r="B390" s="40">
        <v>2500</v>
      </c>
      <c r="D390" t="s">
        <v>567</v>
      </c>
      <c r="E390" s="40">
        <v>2500</v>
      </c>
    </row>
    <row r="391" spans="1:5" x14ac:dyDescent="0.3">
      <c r="A391" t="s">
        <v>568</v>
      </c>
      <c r="B391" s="40">
        <v>3200</v>
      </c>
      <c r="D391" t="s">
        <v>568</v>
      </c>
      <c r="E391" s="40">
        <v>3200</v>
      </c>
    </row>
    <row r="392" spans="1:5" x14ac:dyDescent="0.3">
      <c r="A392" t="s">
        <v>569</v>
      </c>
      <c r="B392" s="40">
        <v>3000</v>
      </c>
      <c r="D392" t="s">
        <v>569</v>
      </c>
      <c r="E392" s="40">
        <v>3000</v>
      </c>
    </row>
    <row r="393" spans="1:5" x14ac:dyDescent="0.3">
      <c r="A393" t="s">
        <v>570</v>
      </c>
      <c r="B393" s="40">
        <v>4000</v>
      </c>
      <c r="D393" t="s">
        <v>570</v>
      </c>
      <c r="E393" s="40">
        <v>4000</v>
      </c>
    </row>
    <row r="394" spans="1:5" x14ac:dyDescent="0.3">
      <c r="A394" t="s">
        <v>577</v>
      </c>
      <c r="B394" s="40" t="s">
        <v>393</v>
      </c>
      <c r="D394" t="s">
        <v>577</v>
      </c>
      <c r="E394" s="40" t="s">
        <v>393</v>
      </c>
    </row>
    <row r="395" spans="1:5" x14ac:dyDescent="0.3">
      <c r="A395" t="s">
        <v>578</v>
      </c>
      <c r="B395" s="40">
        <v>2500</v>
      </c>
      <c r="D395" t="s">
        <v>578</v>
      </c>
      <c r="E395" s="40">
        <v>2500</v>
      </c>
    </row>
    <row r="396" spans="1:5" x14ac:dyDescent="0.3">
      <c r="A396" t="s">
        <v>579</v>
      </c>
      <c r="B396" s="40">
        <v>3200</v>
      </c>
      <c r="D396" t="s">
        <v>579</v>
      </c>
      <c r="E396" s="40">
        <v>3200</v>
      </c>
    </row>
    <row r="397" spans="1:5" x14ac:dyDescent="0.3">
      <c r="A397" t="s">
        <v>580</v>
      </c>
      <c r="B397" s="40">
        <v>3200</v>
      </c>
      <c r="D397" t="s">
        <v>580</v>
      </c>
      <c r="E397" s="40">
        <v>3200</v>
      </c>
    </row>
    <row r="398" spans="1:5" x14ac:dyDescent="0.3">
      <c r="A398" t="s">
        <v>581</v>
      </c>
      <c r="B398" s="40">
        <v>4250</v>
      </c>
      <c r="D398" t="s">
        <v>581</v>
      </c>
      <c r="E398" s="40">
        <v>4250</v>
      </c>
    </row>
    <row r="399" spans="1:5" x14ac:dyDescent="0.3">
      <c r="A399" t="s">
        <v>582</v>
      </c>
      <c r="B399" s="40">
        <v>3600</v>
      </c>
      <c r="D399" t="s">
        <v>582</v>
      </c>
      <c r="E399" s="40">
        <v>3600</v>
      </c>
    </row>
    <row r="400" spans="1:5" x14ac:dyDescent="0.3">
      <c r="A400" t="s">
        <v>583</v>
      </c>
      <c r="B400" s="40">
        <v>5000</v>
      </c>
      <c r="D400" t="s">
        <v>583</v>
      </c>
      <c r="E400" s="40">
        <v>5000</v>
      </c>
    </row>
    <row r="401" spans="1:5" x14ac:dyDescent="0.3">
      <c r="A401" t="s">
        <v>599</v>
      </c>
      <c r="B401" s="40" t="s">
        <v>393</v>
      </c>
      <c r="D401" t="s">
        <v>599</v>
      </c>
      <c r="E401" s="40" t="s">
        <v>393</v>
      </c>
    </row>
    <row r="402" spans="1:5" x14ac:dyDescent="0.3">
      <c r="A402" t="s">
        <v>600</v>
      </c>
      <c r="B402" s="40">
        <v>2000</v>
      </c>
      <c r="D402" t="s">
        <v>600</v>
      </c>
      <c r="E402" s="40">
        <v>2000</v>
      </c>
    </row>
    <row r="403" spans="1:5" x14ac:dyDescent="0.3">
      <c r="A403" t="s">
        <v>601</v>
      </c>
      <c r="B403" s="40">
        <v>2550</v>
      </c>
      <c r="D403" t="s">
        <v>601</v>
      </c>
      <c r="E403" s="40">
        <v>2550</v>
      </c>
    </row>
    <row r="404" spans="1:5" x14ac:dyDescent="0.3">
      <c r="A404" t="s">
        <v>602</v>
      </c>
      <c r="B404" s="40">
        <v>2500</v>
      </c>
      <c r="D404" t="s">
        <v>602</v>
      </c>
      <c r="E404" s="40">
        <v>2500</v>
      </c>
    </row>
    <row r="405" spans="1:5" x14ac:dyDescent="0.3">
      <c r="A405" t="s">
        <v>603</v>
      </c>
      <c r="B405" s="40">
        <v>3050</v>
      </c>
      <c r="D405" t="s">
        <v>603</v>
      </c>
      <c r="E405" s="40">
        <v>3050</v>
      </c>
    </row>
    <row r="406" spans="1:5" x14ac:dyDescent="0.3">
      <c r="A406" t="s">
        <v>604</v>
      </c>
      <c r="B406" s="40">
        <v>3000</v>
      </c>
      <c r="D406" t="s">
        <v>604</v>
      </c>
      <c r="E406" s="40">
        <v>3000</v>
      </c>
    </row>
    <row r="407" spans="1:5" x14ac:dyDescent="0.3">
      <c r="A407" t="s">
        <v>605</v>
      </c>
      <c r="B407" s="40">
        <v>3650</v>
      </c>
      <c r="D407" t="s">
        <v>605</v>
      </c>
      <c r="E407" s="40">
        <v>3650</v>
      </c>
    </row>
    <row r="408" spans="1:5" x14ac:dyDescent="0.3">
      <c r="A408" t="s">
        <v>606</v>
      </c>
      <c r="B408" s="40" t="s">
        <v>453</v>
      </c>
      <c r="D408" t="s">
        <v>606</v>
      </c>
      <c r="E408" s="40" t="s">
        <v>453</v>
      </c>
    </row>
    <row r="409" spans="1:5" x14ac:dyDescent="0.3">
      <c r="A409" t="s">
        <v>607</v>
      </c>
      <c r="B409" s="40">
        <v>2500</v>
      </c>
      <c r="D409" t="s">
        <v>607</v>
      </c>
      <c r="E409" s="40">
        <v>2500</v>
      </c>
    </row>
    <row r="410" spans="1:5" x14ac:dyDescent="0.3">
      <c r="A410" t="s">
        <v>608</v>
      </c>
      <c r="B410" s="40">
        <v>2800</v>
      </c>
      <c r="D410" t="s">
        <v>608</v>
      </c>
      <c r="E410" s="40">
        <v>2800</v>
      </c>
    </row>
    <row r="411" spans="1:5" x14ac:dyDescent="0.3">
      <c r="A411" t="s">
        <v>609</v>
      </c>
      <c r="B411" s="40">
        <v>3200</v>
      </c>
      <c r="D411" t="s">
        <v>609</v>
      </c>
      <c r="E411" s="40">
        <v>3200</v>
      </c>
    </row>
    <row r="412" spans="1:5" x14ac:dyDescent="0.3">
      <c r="A412" t="s">
        <v>610</v>
      </c>
      <c r="B412" s="40">
        <v>3500</v>
      </c>
      <c r="D412" t="s">
        <v>610</v>
      </c>
      <c r="E412" s="40">
        <v>3500</v>
      </c>
    </row>
    <row r="413" spans="1:5" x14ac:dyDescent="0.3">
      <c r="A413" t="s">
        <v>611</v>
      </c>
      <c r="B413" s="40">
        <v>3800</v>
      </c>
      <c r="D413" t="s">
        <v>611</v>
      </c>
      <c r="E413" s="40">
        <v>3800</v>
      </c>
    </row>
    <row r="414" spans="1:5" x14ac:dyDescent="0.3">
      <c r="A414" t="s">
        <v>612</v>
      </c>
      <c r="B414" s="40">
        <v>4400</v>
      </c>
      <c r="D414" t="s">
        <v>612</v>
      </c>
      <c r="E414" s="40">
        <v>4400</v>
      </c>
    </row>
    <row r="415" spans="1:5" x14ac:dyDescent="0.3">
      <c r="A415" t="s">
        <v>613</v>
      </c>
      <c r="B415" s="40" t="s">
        <v>231</v>
      </c>
      <c r="D415" t="s">
        <v>613</v>
      </c>
      <c r="E415" s="40" t="s">
        <v>231</v>
      </c>
    </row>
    <row r="416" spans="1:5" x14ac:dyDescent="0.3">
      <c r="A416" t="s">
        <v>614</v>
      </c>
      <c r="B416" s="40">
        <v>5000</v>
      </c>
      <c r="D416" t="s">
        <v>614</v>
      </c>
      <c r="E416" s="40">
        <v>5000</v>
      </c>
    </row>
    <row r="417" spans="1:5" x14ac:dyDescent="0.3">
      <c r="A417" t="s">
        <v>615</v>
      </c>
      <c r="B417" s="40">
        <v>6000</v>
      </c>
      <c r="D417" t="s">
        <v>615</v>
      </c>
      <c r="E417" s="40">
        <v>6000</v>
      </c>
    </row>
    <row r="418" spans="1:5" x14ac:dyDescent="0.3">
      <c r="A418" t="s">
        <v>616</v>
      </c>
      <c r="B418" s="40">
        <v>7500</v>
      </c>
      <c r="D418" t="s">
        <v>616</v>
      </c>
      <c r="E418" s="40">
        <v>7500</v>
      </c>
    </row>
    <row r="419" spans="1:5" x14ac:dyDescent="0.3">
      <c r="A419" t="s">
        <v>617</v>
      </c>
      <c r="B419" s="40">
        <v>9000</v>
      </c>
      <c r="D419" t="s">
        <v>617</v>
      </c>
      <c r="E419" s="40">
        <v>9000</v>
      </c>
    </row>
    <row r="420" spans="1:5" x14ac:dyDescent="0.3">
      <c r="A420" t="s">
        <v>618</v>
      </c>
      <c r="B420" s="40">
        <v>10000</v>
      </c>
      <c r="D420" t="s">
        <v>618</v>
      </c>
      <c r="E420" s="40">
        <v>10000</v>
      </c>
    </row>
    <row r="421" spans="1:5" x14ac:dyDescent="0.3">
      <c r="A421" t="s">
        <v>619</v>
      </c>
      <c r="B421" s="40">
        <v>12000</v>
      </c>
      <c r="D421" t="s">
        <v>619</v>
      </c>
      <c r="E421" s="40">
        <v>12000</v>
      </c>
    </row>
    <row r="422" spans="1:5" x14ac:dyDescent="0.3">
      <c r="A422" t="s">
        <v>620</v>
      </c>
      <c r="B422" s="40" t="s">
        <v>435</v>
      </c>
      <c r="D422" t="s">
        <v>620</v>
      </c>
      <c r="E422" s="40" t="s">
        <v>435</v>
      </c>
    </row>
    <row r="423" spans="1:5" x14ac:dyDescent="0.3">
      <c r="A423" t="s">
        <v>621</v>
      </c>
      <c r="B423" s="40">
        <v>3000</v>
      </c>
      <c r="D423" t="s">
        <v>621</v>
      </c>
      <c r="E423" s="40">
        <v>3000</v>
      </c>
    </row>
    <row r="424" spans="1:5" x14ac:dyDescent="0.3">
      <c r="A424" t="s">
        <v>622</v>
      </c>
      <c r="B424" s="40">
        <v>3500</v>
      </c>
      <c r="D424" t="s">
        <v>622</v>
      </c>
      <c r="E424" s="40">
        <v>3500</v>
      </c>
    </row>
    <row r="425" spans="1:5" x14ac:dyDescent="0.3">
      <c r="A425" t="s">
        <v>623</v>
      </c>
      <c r="B425" s="40">
        <v>4000</v>
      </c>
      <c r="D425" t="s">
        <v>623</v>
      </c>
      <c r="E425" s="40">
        <v>4000</v>
      </c>
    </row>
    <row r="426" spans="1:5" x14ac:dyDescent="0.3">
      <c r="A426" t="s">
        <v>624</v>
      </c>
      <c r="B426" s="40">
        <v>4200</v>
      </c>
      <c r="D426" t="s">
        <v>624</v>
      </c>
      <c r="E426" s="40">
        <v>4200</v>
      </c>
    </row>
    <row r="427" spans="1:5" x14ac:dyDescent="0.3">
      <c r="A427" t="s">
        <v>625</v>
      </c>
      <c r="B427" s="40">
        <v>5200</v>
      </c>
      <c r="D427" t="s">
        <v>625</v>
      </c>
      <c r="E427" s="40">
        <v>5200</v>
      </c>
    </row>
    <row r="428" spans="1:5" x14ac:dyDescent="0.3">
      <c r="A428" t="s">
        <v>626</v>
      </c>
      <c r="B428" s="40">
        <v>5800</v>
      </c>
      <c r="D428" t="s">
        <v>626</v>
      </c>
      <c r="E428" s="40">
        <v>5800</v>
      </c>
    </row>
    <row r="429" spans="1:5" x14ac:dyDescent="0.3">
      <c r="A429" t="s">
        <v>627</v>
      </c>
      <c r="B429" s="40">
        <v>6000</v>
      </c>
      <c r="D429" t="s">
        <v>627</v>
      </c>
      <c r="E429" s="40">
        <v>6000</v>
      </c>
    </row>
    <row r="430" spans="1:5" x14ac:dyDescent="0.3">
      <c r="A430" t="s">
        <v>628</v>
      </c>
      <c r="B430" s="40">
        <v>7600</v>
      </c>
      <c r="D430" t="s">
        <v>628</v>
      </c>
      <c r="E430" s="40">
        <v>7600</v>
      </c>
    </row>
    <row r="431" spans="1:5" x14ac:dyDescent="0.3">
      <c r="A431" t="s">
        <v>629</v>
      </c>
      <c r="B431" s="40">
        <v>7200</v>
      </c>
      <c r="D431" t="s">
        <v>629</v>
      </c>
      <c r="E431" s="40">
        <v>7200</v>
      </c>
    </row>
    <row r="432" spans="1:5" x14ac:dyDescent="0.3">
      <c r="A432" t="s">
        <v>630</v>
      </c>
      <c r="B432" s="40" t="s">
        <v>361</v>
      </c>
      <c r="D432" t="s">
        <v>630</v>
      </c>
      <c r="E432" s="40" t="s">
        <v>361</v>
      </c>
    </row>
    <row r="433" spans="1:5" x14ac:dyDescent="0.3">
      <c r="A433" t="s">
        <v>631</v>
      </c>
      <c r="B433" s="40">
        <v>3500</v>
      </c>
      <c r="D433" t="s">
        <v>631</v>
      </c>
      <c r="E433" s="40">
        <v>3500</v>
      </c>
    </row>
    <row r="434" spans="1:5" x14ac:dyDescent="0.3">
      <c r="A434" t="s">
        <v>632</v>
      </c>
      <c r="B434" s="40">
        <v>4000</v>
      </c>
      <c r="D434" t="s">
        <v>632</v>
      </c>
      <c r="E434" s="40">
        <v>4000</v>
      </c>
    </row>
    <row r="435" spans="1:5" x14ac:dyDescent="0.3">
      <c r="A435" t="s">
        <v>633</v>
      </c>
      <c r="B435" s="40">
        <v>4800</v>
      </c>
      <c r="D435" t="s">
        <v>633</v>
      </c>
      <c r="E435" s="40">
        <v>4800</v>
      </c>
    </row>
    <row r="436" spans="1:5" x14ac:dyDescent="0.3">
      <c r="A436" t="s">
        <v>634</v>
      </c>
      <c r="B436" s="40" t="s">
        <v>393</v>
      </c>
      <c r="D436" t="s">
        <v>634</v>
      </c>
      <c r="E436" s="40" t="s">
        <v>393</v>
      </c>
    </row>
    <row r="437" spans="1:5" x14ac:dyDescent="0.3">
      <c r="A437" t="s">
        <v>635</v>
      </c>
      <c r="B437" s="40">
        <v>3400</v>
      </c>
      <c r="D437" t="s">
        <v>635</v>
      </c>
      <c r="E437" s="40">
        <v>3400</v>
      </c>
    </row>
    <row r="438" spans="1:5" x14ac:dyDescent="0.3">
      <c r="A438" t="s">
        <v>636</v>
      </c>
      <c r="B438" s="40">
        <v>4500</v>
      </c>
      <c r="D438" t="s">
        <v>636</v>
      </c>
      <c r="E438" s="40">
        <v>4500</v>
      </c>
    </row>
    <row r="439" spans="1:5" x14ac:dyDescent="0.3">
      <c r="A439" t="s">
        <v>637</v>
      </c>
      <c r="B439" s="40">
        <v>5600</v>
      </c>
      <c r="D439" t="s">
        <v>637</v>
      </c>
      <c r="E439" s="40">
        <v>5600</v>
      </c>
    </row>
    <row r="440" spans="1:5" x14ac:dyDescent="0.3">
      <c r="A440" t="s">
        <v>639</v>
      </c>
      <c r="B440" s="40" t="s">
        <v>361</v>
      </c>
      <c r="D440" t="s">
        <v>639</v>
      </c>
      <c r="E440" s="40" t="s">
        <v>361</v>
      </c>
    </row>
    <row r="441" spans="1:5" x14ac:dyDescent="0.3">
      <c r="A441" t="s">
        <v>640</v>
      </c>
      <c r="B441" s="40">
        <v>4300</v>
      </c>
      <c r="D441" t="s">
        <v>640</v>
      </c>
      <c r="E441" s="40">
        <v>4300</v>
      </c>
    </row>
    <row r="442" spans="1:5" x14ac:dyDescent="0.3">
      <c r="A442" t="s">
        <v>641</v>
      </c>
      <c r="B442" s="40">
        <v>5000</v>
      </c>
      <c r="D442" t="s">
        <v>641</v>
      </c>
      <c r="E442" s="40">
        <v>5000</v>
      </c>
    </row>
    <row r="443" spans="1:5" x14ac:dyDescent="0.3">
      <c r="A443" t="s">
        <v>642</v>
      </c>
      <c r="B443" s="40">
        <v>6000</v>
      </c>
      <c r="D443" t="s">
        <v>642</v>
      </c>
      <c r="E443" s="40">
        <v>6000</v>
      </c>
    </row>
    <row r="444" spans="1:5" x14ac:dyDescent="0.3">
      <c r="A444" t="s">
        <v>643</v>
      </c>
      <c r="B444" s="40">
        <v>5300</v>
      </c>
      <c r="D444" t="s">
        <v>643</v>
      </c>
      <c r="E444" s="40">
        <v>5300</v>
      </c>
    </row>
    <row r="445" spans="1:5" x14ac:dyDescent="0.3">
      <c r="A445" t="s">
        <v>644</v>
      </c>
      <c r="B445" s="40">
        <v>6500</v>
      </c>
      <c r="D445" t="s">
        <v>644</v>
      </c>
      <c r="E445" s="40">
        <v>6500</v>
      </c>
    </row>
    <row r="446" spans="1:5" x14ac:dyDescent="0.3">
      <c r="A446" t="s">
        <v>645</v>
      </c>
      <c r="B446" s="40">
        <v>8000</v>
      </c>
      <c r="D446" t="s">
        <v>645</v>
      </c>
      <c r="E446" s="40">
        <v>8000</v>
      </c>
    </row>
    <row r="447" spans="1:5" x14ac:dyDescent="0.3">
      <c r="A447" t="s">
        <v>646</v>
      </c>
      <c r="B447" s="40">
        <v>8200</v>
      </c>
      <c r="D447" t="s">
        <v>646</v>
      </c>
      <c r="E447" s="40">
        <v>8200</v>
      </c>
    </row>
    <row r="448" spans="1:5" x14ac:dyDescent="0.3">
      <c r="A448" t="s">
        <v>647</v>
      </c>
      <c r="B448" s="40">
        <v>11000</v>
      </c>
      <c r="D448" t="s">
        <v>647</v>
      </c>
      <c r="E448" s="40">
        <v>11000</v>
      </c>
    </row>
    <row r="449" spans="1:5" x14ac:dyDescent="0.3">
      <c r="A449" t="s">
        <v>648</v>
      </c>
      <c r="B449" s="40">
        <v>9400</v>
      </c>
      <c r="D449" t="s">
        <v>648</v>
      </c>
      <c r="E449" s="40">
        <v>9400</v>
      </c>
    </row>
    <row r="450" spans="1:5" x14ac:dyDescent="0.3">
      <c r="A450" t="s">
        <v>657</v>
      </c>
      <c r="B450" s="40" t="s">
        <v>272</v>
      </c>
      <c r="D450" t="s">
        <v>657</v>
      </c>
      <c r="E450" s="40" t="s">
        <v>272</v>
      </c>
    </row>
    <row r="451" spans="1:5" x14ac:dyDescent="0.3">
      <c r="A451" t="s">
        <v>658</v>
      </c>
      <c r="B451" s="40">
        <v>7500</v>
      </c>
      <c r="D451" t="s">
        <v>658</v>
      </c>
      <c r="E451" s="40">
        <v>7500</v>
      </c>
    </row>
    <row r="452" spans="1:5" x14ac:dyDescent="0.3">
      <c r="A452" t="s">
        <v>659</v>
      </c>
      <c r="B452" s="40">
        <v>8500</v>
      </c>
      <c r="D452" t="s">
        <v>659</v>
      </c>
      <c r="E452" s="40">
        <v>8500</v>
      </c>
    </row>
    <row r="453" spans="1:5" x14ac:dyDescent="0.3">
      <c r="A453" t="s">
        <v>660</v>
      </c>
      <c r="B453" s="40">
        <v>9000</v>
      </c>
      <c r="D453" t="s">
        <v>660</v>
      </c>
      <c r="E453" s="40">
        <v>9000</v>
      </c>
    </row>
    <row r="454" spans="1:5" x14ac:dyDescent="0.3">
      <c r="A454" t="s">
        <v>661</v>
      </c>
      <c r="B454" s="40">
        <v>10500</v>
      </c>
      <c r="D454" t="s">
        <v>661</v>
      </c>
      <c r="E454" s="40">
        <v>10500</v>
      </c>
    </row>
    <row r="455" spans="1:5" x14ac:dyDescent="0.3">
      <c r="A455" t="s">
        <v>662</v>
      </c>
      <c r="B455" s="40">
        <v>13000</v>
      </c>
      <c r="D455" t="s">
        <v>662</v>
      </c>
      <c r="E455" s="40">
        <v>13000</v>
      </c>
    </row>
    <row r="456" spans="1:5" x14ac:dyDescent="0.3">
      <c r="A456" t="s">
        <v>663</v>
      </c>
      <c r="B456" s="40">
        <v>10500</v>
      </c>
      <c r="D456" t="s">
        <v>663</v>
      </c>
      <c r="E456" s="40">
        <v>10500</v>
      </c>
    </row>
    <row r="457" spans="1:5" x14ac:dyDescent="0.3">
      <c r="A457" t="s">
        <v>664</v>
      </c>
      <c r="B457" s="40" t="s">
        <v>261</v>
      </c>
      <c r="D457" t="s">
        <v>664</v>
      </c>
      <c r="E457" s="40" t="s">
        <v>261</v>
      </c>
    </row>
    <row r="458" spans="1:5" x14ac:dyDescent="0.3">
      <c r="A458" t="s">
        <v>665</v>
      </c>
      <c r="B458" s="40">
        <v>2850</v>
      </c>
      <c r="D458" t="s">
        <v>665</v>
      </c>
      <c r="E458" s="40">
        <v>2850</v>
      </c>
    </row>
    <row r="459" spans="1:5" x14ac:dyDescent="0.3">
      <c r="A459" t="s">
        <v>666</v>
      </c>
      <c r="B459" s="40">
        <v>3650</v>
      </c>
      <c r="D459" t="s">
        <v>666</v>
      </c>
      <c r="E459" s="40">
        <v>3650</v>
      </c>
    </row>
    <row r="460" spans="1:5" x14ac:dyDescent="0.3">
      <c r="A460" t="s">
        <v>667</v>
      </c>
      <c r="B460" s="40">
        <v>4050</v>
      </c>
      <c r="D460" t="s">
        <v>667</v>
      </c>
      <c r="E460" s="40">
        <v>4050</v>
      </c>
    </row>
    <row r="461" spans="1:5" x14ac:dyDescent="0.3">
      <c r="A461" t="s">
        <v>668</v>
      </c>
      <c r="B461" s="40">
        <v>5250</v>
      </c>
      <c r="D461" t="s">
        <v>668</v>
      </c>
      <c r="E461" s="40">
        <v>5250</v>
      </c>
    </row>
    <row r="462" spans="1:5" x14ac:dyDescent="0.3">
      <c r="A462" t="s">
        <v>675</v>
      </c>
      <c r="B462" s="40" t="s">
        <v>261</v>
      </c>
      <c r="D462" t="s">
        <v>675</v>
      </c>
      <c r="E462" s="40" t="s">
        <v>261</v>
      </c>
    </row>
    <row r="463" spans="1:5" x14ac:dyDescent="0.3">
      <c r="A463" t="s">
        <v>676</v>
      </c>
      <c r="B463" s="40">
        <v>3000</v>
      </c>
      <c r="D463" t="s">
        <v>676</v>
      </c>
      <c r="E463" s="40">
        <v>3000</v>
      </c>
    </row>
    <row r="464" spans="1:5" x14ac:dyDescent="0.3">
      <c r="A464" t="s">
        <v>677</v>
      </c>
      <c r="B464" s="40">
        <v>3400</v>
      </c>
      <c r="D464" t="s">
        <v>677</v>
      </c>
      <c r="E464" s="40">
        <v>3400</v>
      </c>
    </row>
    <row r="465" spans="1:5" x14ac:dyDescent="0.3">
      <c r="A465" t="s">
        <v>678</v>
      </c>
      <c r="B465" s="40">
        <v>4000</v>
      </c>
      <c r="D465" t="s">
        <v>678</v>
      </c>
      <c r="E465" s="40">
        <v>4000</v>
      </c>
    </row>
    <row r="466" spans="1:5" x14ac:dyDescent="0.3">
      <c r="A466" t="s">
        <v>679</v>
      </c>
      <c r="B466" s="40">
        <v>4000</v>
      </c>
      <c r="D466" t="s">
        <v>679</v>
      </c>
      <c r="E466" s="40">
        <v>4000</v>
      </c>
    </row>
    <row r="467" spans="1:5" x14ac:dyDescent="0.3">
      <c r="A467" t="s">
        <v>680</v>
      </c>
      <c r="B467" s="40">
        <v>4600</v>
      </c>
      <c r="D467" t="s">
        <v>680</v>
      </c>
      <c r="E467" s="40">
        <v>4600</v>
      </c>
    </row>
    <row r="468" spans="1:5" x14ac:dyDescent="0.3">
      <c r="A468" t="s">
        <v>681</v>
      </c>
      <c r="B468" s="40">
        <v>5500</v>
      </c>
      <c r="D468" t="s">
        <v>681</v>
      </c>
      <c r="E468" s="40">
        <v>5500</v>
      </c>
    </row>
    <row r="469" spans="1:5" x14ac:dyDescent="0.3">
      <c r="A469" t="s">
        <v>682</v>
      </c>
      <c r="B469" s="40" t="s">
        <v>324</v>
      </c>
      <c r="D469" t="s">
        <v>682</v>
      </c>
      <c r="E469" s="40" t="s">
        <v>324</v>
      </c>
    </row>
    <row r="470" spans="1:5" x14ac:dyDescent="0.3">
      <c r="A470" t="s">
        <v>683</v>
      </c>
      <c r="B470" s="40">
        <v>3500</v>
      </c>
      <c r="D470" t="s">
        <v>683</v>
      </c>
      <c r="E470" s="40">
        <v>3500</v>
      </c>
    </row>
    <row r="471" spans="1:5" x14ac:dyDescent="0.3">
      <c r="A471" t="s">
        <v>684</v>
      </c>
      <c r="B471" s="40">
        <v>3800</v>
      </c>
      <c r="D471" t="s">
        <v>684</v>
      </c>
      <c r="E471" s="40">
        <v>3800</v>
      </c>
    </row>
    <row r="472" spans="1:5" x14ac:dyDescent="0.3">
      <c r="A472" t="s">
        <v>685</v>
      </c>
      <c r="B472" s="40">
        <v>4500</v>
      </c>
      <c r="D472" t="s">
        <v>685</v>
      </c>
      <c r="E472" s="40">
        <v>4500</v>
      </c>
    </row>
    <row r="473" spans="1:5" x14ac:dyDescent="0.3">
      <c r="A473" t="s">
        <v>686</v>
      </c>
      <c r="B473" s="40">
        <v>5000</v>
      </c>
      <c r="D473" t="s">
        <v>686</v>
      </c>
      <c r="E473" s="40">
        <v>5000</v>
      </c>
    </row>
    <row r="474" spans="1:5" x14ac:dyDescent="0.3">
      <c r="A474" t="s">
        <v>687</v>
      </c>
      <c r="B474" s="40">
        <v>5400</v>
      </c>
      <c r="D474" t="s">
        <v>687</v>
      </c>
      <c r="E474" s="40">
        <v>5400</v>
      </c>
    </row>
    <row r="475" spans="1:5" x14ac:dyDescent="0.3">
      <c r="A475" t="s">
        <v>688</v>
      </c>
      <c r="B475" s="40">
        <v>6000</v>
      </c>
      <c r="D475" t="s">
        <v>688</v>
      </c>
      <c r="E475" s="40">
        <v>6000</v>
      </c>
    </row>
    <row r="476" spans="1:5" x14ac:dyDescent="0.3">
      <c r="A476" t="s">
        <v>689</v>
      </c>
      <c r="B476" s="40">
        <v>6200</v>
      </c>
      <c r="D476" t="s">
        <v>689</v>
      </c>
      <c r="E476" s="40">
        <v>6200</v>
      </c>
    </row>
    <row r="477" spans="1:5" x14ac:dyDescent="0.3">
      <c r="A477" t="s">
        <v>690</v>
      </c>
      <c r="B477" s="40">
        <v>7200</v>
      </c>
      <c r="D477" t="s">
        <v>690</v>
      </c>
      <c r="E477" s="40">
        <v>7200</v>
      </c>
    </row>
    <row r="478" spans="1:5" x14ac:dyDescent="0.3">
      <c r="A478" t="s">
        <v>691</v>
      </c>
      <c r="B478" s="40">
        <v>6600</v>
      </c>
      <c r="D478" t="s">
        <v>691</v>
      </c>
      <c r="E478" s="40">
        <v>6600</v>
      </c>
    </row>
    <row r="479" spans="1:5" x14ac:dyDescent="0.3">
      <c r="A479" t="s">
        <v>692</v>
      </c>
      <c r="B479" s="40" t="s">
        <v>430</v>
      </c>
      <c r="D479" t="s">
        <v>692</v>
      </c>
      <c r="E479" s="40" t="s">
        <v>430</v>
      </c>
    </row>
    <row r="480" spans="1:5" x14ac:dyDescent="0.3">
      <c r="A480" t="s">
        <v>693</v>
      </c>
      <c r="B480" s="40">
        <v>2500</v>
      </c>
      <c r="D480" t="s">
        <v>693</v>
      </c>
      <c r="E480" s="40">
        <v>2500</v>
      </c>
    </row>
    <row r="481" spans="1:5" x14ac:dyDescent="0.3">
      <c r="A481" t="s">
        <v>694</v>
      </c>
      <c r="B481" s="40">
        <v>3600</v>
      </c>
      <c r="D481" t="s">
        <v>694</v>
      </c>
      <c r="E481" s="40">
        <v>3600</v>
      </c>
    </row>
    <row r="482" spans="1:5" x14ac:dyDescent="0.3">
      <c r="A482" t="s">
        <v>695</v>
      </c>
      <c r="B482" s="40">
        <v>4500</v>
      </c>
      <c r="D482" t="s">
        <v>695</v>
      </c>
      <c r="E482" s="40">
        <v>4500</v>
      </c>
    </row>
    <row r="483" spans="1:5" x14ac:dyDescent="0.3">
      <c r="A483" t="s">
        <v>696</v>
      </c>
      <c r="B483" s="40">
        <v>2800</v>
      </c>
      <c r="D483" t="s">
        <v>696</v>
      </c>
      <c r="E483" s="40">
        <v>2800</v>
      </c>
    </row>
    <row r="484" spans="1:5" x14ac:dyDescent="0.3">
      <c r="A484" t="s">
        <v>697</v>
      </c>
      <c r="B484" s="40">
        <v>4000</v>
      </c>
      <c r="D484" t="s">
        <v>697</v>
      </c>
      <c r="E484" s="40">
        <v>4000</v>
      </c>
    </row>
    <row r="485" spans="1:5" x14ac:dyDescent="0.3">
      <c r="A485" t="s">
        <v>698</v>
      </c>
      <c r="B485" s="40">
        <v>5000</v>
      </c>
      <c r="D485" t="s">
        <v>698</v>
      </c>
      <c r="E485" s="40">
        <v>5000</v>
      </c>
    </row>
    <row r="486" spans="1:5" x14ac:dyDescent="0.3">
      <c r="A486" t="s">
        <v>699</v>
      </c>
      <c r="B486" s="40">
        <v>3200</v>
      </c>
      <c r="D486" t="s">
        <v>699</v>
      </c>
      <c r="E486" s="40">
        <v>3200</v>
      </c>
    </row>
    <row r="487" spans="1:5" x14ac:dyDescent="0.3">
      <c r="A487" t="s">
        <v>700</v>
      </c>
      <c r="B487" s="40">
        <v>5800</v>
      </c>
      <c r="D487" t="s">
        <v>700</v>
      </c>
      <c r="E487" s="40">
        <v>5800</v>
      </c>
    </row>
    <row r="488" spans="1:5" x14ac:dyDescent="0.3">
      <c r="A488" t="s">
        <v>701</v>
      </c>
      <c r="B488" s="40">
        <v>4600</v>
      </c>
      <c r="D488" t="s">
        <v>701</v>
      </c>
      <c r="E488" s="40">
        <v>4600</v>
      </c>
    </row>
    <row r="489" spans="1:5" x14ac:dyDescent="0.3">
      <c r="A489" t="s">
        <v>702</v>
      </c>
      <c r="B489" s="40" t="s">
        <v>324</v>
      </c>
      <c r="D489" t="s">
        <v>702</v>
      </c>
      <c r="E489" s="40" t="s">
        <v>324</v>
      </c>
    </row>
    <row r="490" spans="1:5" x14ac:dyDescent="0.3">
      <c r="A490" t="s">
        <v>703</v>
      </c>
      <c r="B490" s="40">
        <v>5200</v>
      </c>
      <c r="D490" t="s">
        <v>703</v>
      </c>
      <c r="E490" s="40">
        <v>5200</v>
      </c>
    </row>
    <row r="491" spans="1:5" x14ac:dyDescent="0.3">
      <c r="A491" t="s">
        <v>704</v>
      </c>
      <c r="B491" s="40">
        <v>5800</v>
      </c>
      <c r="D491" t="s">
        <v>704</v>
      </c>
      <c r="E491" s="40">
        <v>5800</v>
      </c>
    </row>
    <row r="492" spans="1:5" x14ac:dyDescent="0.3">
      <c r="A492" t="s">
        <v>705</v>
      </c>
      <c r="B492" s="40">
        <v>6600</v>
      </c>
      <c r="D492" t="s">
        <v>705</v>
      </c>
      <c r="E492" s="40">
        <v>6600</v>
      </c>
    </row>
    <row r="493" spans="1:5" x14ac:dyDescent="0.3">
      <c r="A493" t="s">
        <v>706</v>
      </c>
      <c r="B493" s="40">
        <v>6500</v>
      </c>
      <c r="D493" t="s">
        <v>706</v>
      </c>
      <c r="E493" s="40">
        <v>6500</v>
      </c>
    </row>
    <row r="494" spans="1:5" x14ac:dyDescent="0.3">
      <c r="A494" t="s">
        <v>707</v>
      </c>
      <c r="B494" s="40">
        <v>7400</v>
      </c>
      <c r="D494" t="s">
        <v>707</v>
      </c>
      <c r="E494" s="40">
        <v>7400</v>
      </c>
    </row>
    <row r="495" spans="1:5" x14ac:dyDescent="0.3">
      <c r="A495" t="s">
        <v>708</v>
      </c>
      <c r="B495" s="40">
        <v>8600</v>
      </c>
      <c r="D495" t="s">
        <v>708</v>
      </c>
      <c r="E495" s="40">
        <v>8600</v>
      </c>
    </row>
    <row r="496" spans="1:5" x14ac:dyDescent="0.3">
      <c r="A496" t="s">
        <v>709</v>
      </c>
      <c r="B496" s="40">
        <v>7800</v>
      </c>
      <c r="D496" t="s">
        <v>709</v>
      </c>
      <c r="E496" s="40">
        <v>7800</v>
      </c>
    </row>
    <row r="497" spans="1:5" x14ac:dyDescent="0.3">
      <c r="A497" t="s">
        <v>710</v>
      </c>
      <c r="B497" s="40">
        <v>10600</v>
      </c>
      <c r="D497" t="s">
        <v>710</v>
      </c>
      <c r="E497" s="40">
        <v>10600</v>
      </c>
    </row>
    <row r="498" spans="1:5" x14ac:dyDescent="0.3">
      <c r="A498" t="s">
        <v>711</v>
      </c>
      <c r="B498" s="40">
        <v>9000</v>
      </c>
      <c r="D498" t="s">
        <v>711</v>
      </c>
      <c r="E498" s="40">
        <v>9000</v>
      </c>
    </row>
    <row r="499" spans="1:5" x14ac:dyDescent="0.3">
      <c r="A499" t="s">
        <v>713</v>
      </c>
      <c r="B499" s="40" t="s">
        <v>311</v>
      </c>
      <c r="D499" t="s">
        <v>713</v>
      </c>
      <c r="E499" s="40" t="s">
        <v>311</v>
      </c>
    </row>
    <row r="500" spans="1:5" x14ac:dyDescent="0.3">
      <c r="A500" t="s">
        <v>714</v>
      </c>
      <c r="B500" s="40">
        <v>2500</v>
      </c>
      <c r="D500" t="s">
        <v>714</v>
      </c>
      <c r="E500" s="40">
        <v>2500</v>
      </c>
    </row>
    <row r="501" spans="1:5" x14ac:dyDescent="0.3">
      <c r="A501" t="s">
        <v>715</v>
      </c>
      <c r="B501" s="40">
        <v>3000</v>
      </c>
      <c r="D501" t="s">
        <v>715</v>
      </c>
      <c r="E501" s="40">
        <v>3000</v>
      </c>
    </row>
    <row r="502" spans="1:5" x14ac:dyDescent="0.3">
      <c r="A502" t="s">
        <v>716</v>
      </c>
      <c r="B502" s="40">
        <v>4500</v>
      </c>
      <c r="D502" t="s">
        <v>716</v>
      </c>
      <c r="E502" s="40">
        <v>4500</v>
      </c>
    </row>
    <row r="503" spans="1:5" x14ac:dyDescent="0.3">
      <c r="A503" t="s">
        <v>718</v>
      </c>
      <c r="B503" s="40" t="s">
        <v>311</v>
      </c>
      <c r="D503" t="s">
        <v>718</v>
      </c>
      <c r="E503" s="40" t="s">
        <v>311</v>
      </c>
    </row>
    <row r="504" spans="1:5" x14ac:dyDescent="0.3">
      <c r="A504" t="s">
        <v>719</v>
      </c>
      <c r="B504" s="40">
        <v>3200</v>
      </c>
      <c r="D504" t="s">
        <v>719</v>
      </c>
      <c r="E504" s="40">
        <v>3200</v>
      </c>
    </row>
    <row r="505" spans="1:5" x14ac:dyDescent="0.3">
      <c r="A505" t="s">
        <v>720</v>
      </c>
      <c r="B505" s="40">
        <v>4000</v>
      </c>
      <c r="D505" t="s">
        <v>720</v>
      </c>
      <c r="E505" s="40">
        <v>4000</v>
      </c>
    </row>
    <row r="506" spans="1:5" x14ac:dyDescent="0.3">
      <c r="A506" t="s">
        <v>721</v>
      </c>
      <c r="B506" s="40">
        <v>4800</v>
      </c>
      <c r="D506" t="s">
        <v>721</v>
      </c>
      <c r="E506" s="40">
        <v>4800</v>
      </c>
    </row>
    <row r="507" spans="1:5" x14ac:dyDescent="0.3">
      <c r="A507" t="s">
        <v>723</v>
      </c>
      <c r="B507" s="40" t="s">
        <v>317</v>
      </c>
      <c r="D507" t="s">
        <v>723</v>
      </c>
      <c r="E507" s="40" t="s">
        <v>317</v>
      </c>
    </row>
    <row r="508" spans="1:5" x14ac:dyDescent="0.3">
      <c r="A508" t="s">
        <v>724</v>
      </c>
      <c r="B508" s="40">
        <v>2000</v>
      </c>
      <c r="D508" t="s">
        <v>724</v>
      </c>
      <c r="E508" s="40">
        <v>2000</v>
      </c>
    </row>
    <row r="509" spans="1:5" x14ac:dyDescent="0.3">
      <c r="A509" t="s">
        <v>725</v>
      </c>
      <c r="B509" s="40">
        <v>2800</v>
      </c>
      <c r="D509" t="s">
        <v>725</v>
      </c>
      <c r="E509" s="40">
        <v>2800</v>
      </c>
    </row>
    <row r="510" spans="1:5" x14ac:dyDescent="0.3">
      <c r="A510" t="s">
        <v>726</v>
      </c>
      <c r="B510" s="40">
        <v>2700</v>
      </c>
      <c r="D510" t="s">
        <v>726</v>
      </c>
      <c r="E510" s="40">
        <v>2700</v>
      </c>
    </row>
    <row r="511" spans="1:5" x14ac:dyDescent="0.3">
      <c r="A511" t="s">
        <v>727</v>
      </c>
      <c r="B511" s="40">
        <v>3600</v>
      </c>
      <c r="D511" t="s">
        <v>727</v>
      </c>
      <c r="E511" s="40">
        <v>3600</v>
      </c>
    </row>
    <row r="512" spans="1:5" x14ac:dyDescent="0.3">
      <c r="A512" t="s">
        <v>728</v>
      </c>
      <c r="B512" s="40">
        <v>3200</v>
      </c>
      <c r="D512" t="s">
        <v>728</v>
      </c>
      <c r="E512" s="40">
        <v>3200</v>
      </c>
    </row>
    <row r="513" spans="1:5" x14ac:dyDescent="0.3">
      <c r="A513" t="s">
        <v>729</v>
      </c>
      <c r="B513" s="40">
        <v>4000</v>
      </c>
      <c r="D513" t="s">
        <v>729</v>
      </c>
      <c r="E513" s="40">
        <v>4000</v>
      </c>
    </row>
    <row r="514" spans="1:5" x14ac:dyDescent="0.3">
      <c r="A514" t="s">
        <v>732</v>
      </c>
      <c r="B514" s="40" t="s">
        <v>453</v>
      </c>
      <c r="D514" t="s">
        <v>732</v>
      </c>
      <c r="E514" s="40" t="s">
        <v>453</v>
      </c>
    </row>
    <row r="515" spans="1:5" x14ac:dyDescent="0.3">
      <c r="A515" t="s">
        <v>733</v>
      </c>
      <c r="B515" s="40">
        <v>3000</v>
      </c>
      <c r="D515" t="s">
        <v>733</v>
      </c>
      <c r="E515" s="40">
        <v>3000</v>
      </c>
    </row>
    <row r="516" spans="1:5" x14ac:dyDescent="0.3">
      <c r="A516" t="s">
        <v>734</v>
      </c>
      <c r="B516" s="40">
        <v>4000</v>
      </c>
      <c r="D516" t="s">
        <v>734</v>
      </c>
      <c r="E516" s="40">
        <v>4000</v>
      </c>
    </row>
    <row r="517" spans="1:5" x14ac:dyDescent="0.3">
      <c r="A517" t="s">
        <v>735</v>
      </c>
      <c r="B517" s="40">
        <v>5000</v>
      </c>
      <c r="D517" t="s">
        <v>735</v>
      </c>
      <c r="E517" s="40">
        <v>5000</v>
      </c>
    </row>
    <row r="518" spans="1:5" x14ac:dyDescent="0.3">
      <c r="A518" t="s">
        <v>752</v>
      </c>
      <c r="B518" s="40" t="s">
        <v>231</v>
      </c>
      <c r="D518" t="s">
        <v>752</v>
      </c>
      <c r="E518" s="40" t="s">
        <v>231</v>
      </c>
    </row>
    <row r="519" spans="1:5" x14ac:dyDescent="0.3">
      <c r="A519" t="s">
        <v>753</v>
      </c>
      <c r="B519" s="40">
        <v>5400</v>
      </c>
      <c r="D519" t="s">
        <v>753</v>
      </c>
      <c r="E519" s="40">
        <v>5400</v>
      </c>
    </row>
    <row r="520" spans="1:5" x14ac:dyDescent="0.3">
      <c r="A520" t="s">
        <v>754</v>
      </c>
      <c r="B520" s="40">
        <v>6000</v>
      </c>
      <c r="D520" t="s">
        <v>754</v>
      </c>
      <c r="E520" s="40">
        <v>6000</v>
      </c>
    </row>
    <row r="521" spans="1:5" x14ac:dyDescent="0.3">
      <c r="A521" t="s">
        <v>755</v>
      </c>
      <c r="B521" s="40">
        <v>8100</v>
      </c>
      <c r="D521" t="s">
        <v>755</v>
      </c>
      <c r="E521" s="40">
        <v>8100</v>
      </c>
    </row>
    <row r="522" spans="1:5" x14ac:dyDescent="0.3">
      <c r="A522" t="s">
        <v>756</v>
      </c>
      <c r="B522" s="40">
        <v>9000</v>
      </c>
      <c r="D522" t="s">
        <v>756</v>
      </c>
      <c r="E522" s="40">
        <v>9000</v>
      </c>
    </row>
    <row r="523" spans="1:5" x14ac:dyDescent="0.3">
      <c r="A523" t="s">
        <v>757</v>
      </c>
      <c r="B523" s="40">
        <v>10800</v>
      </c>
      <c r="D523" t="s">
        <v>757</v>
      </c>
      <c r="E523" s="40">
        <v>10800</v>
      </c>
    </row>
    <row r="524" spans="1:5" x14ac:dyDescent="0.3">
      <c r="A524" t="s">
        <v>758</v>
      </c>
      <c r="B524" s="40">
        <v>12000</v>
      </c>
      <c r="D524" t="s">
        <v>758</v>
      </c>
      <c r="E524" s="40">
        <v>12000</v>
      </c>
    </row>
    <row r="525" spans="1:5" x14ac:dyDescent="0.3">
      <c r="A525" t="s">
        <v>741</v>
      </c>
      <c r="B525" s="40" t="s">
        <v>742</v>
      </c>
      <c r="D525" t="s">
        <v>741</v>
      </c>
      <c r="E525" s="40" t="s">
        <v>742</v>
      </c>
    </row>
    <row r="526" spans="1:5" x14ac:dyDescent="0.3">
      <c r="A526" t="s">
        <v>743</v>
      </c>
      <c r="B526" s="40">
        <v>3600</v>
      </c>
      <c r="D526" t="s">
        <v>743</v>
      </c>
      <c r="E526" s="40">
        <v>3600</v>
      </c>
    </row>
    <row r="527" spans="1:5" x14ac:dyDescent="0.3">
      <c r="A527" t="s">
        <v>744</v>
      </c>
      <c r="B527" s="40" t="s">
        <v>453</v>
      </c>
      <c r="D527" t="s">
        <v>744</v>
      </c>
      <c r="E527" s="40" t="s">
        <v>453</v>
      </c>
    </row>
    <row r="528" spans="1:5" x14ac:dyDescent="0.3">
      <c r="A528" t="s">
        <v>745</v>
      </c>
      <c r="B528" s="40">
        <v>2800</v>
      </c>
      <c r="D528" t="s">
        <v>745</v>
      </c>
      <c r="E528" s="40">
        <v>2800</v>
      </c>
    </row>
    <row r="529" spans="1:5" x14ac:dyDescent="0.3">
      <c r="A529" t="s">
        <v>746</v>
      </c>
      <c r="B529" s="40">
        <v>3300</v>
      </c>
      <c r="D529" t="s">
        <v>746</v>
      </c>
      <c r="E529" s="40">
        <v>3300</v>
      </c>
    </row>
    <row r="530" spans="1:5" x14ac:dyDescent="0.3">
      <c r="A530" t="s">
        <v>747</v>
      </c>
      <c r="B530" s="40" t="s">
        <v>453</v>
      </c>
      <c r="D530" t="s">
        <v>747</v>
      </c>
      <c r="E530" s="40" t="s">
        <v>453</v>
      </c>
    </row>
    <row r="531" spans="1:5" x14ac:dyDescent="0.3">
      <c r="A531" t="s">
        <v>748</v>
      </c>
      <c r="B531" s="40">
        <v>2800</v>
      </c>
      <c r="D531" t="s">
        <v>748</v>
      </c>
      <c r="E531" s="40">
        <v>2800</v>
      </c>
    </row>
    <row r="532" spans="1:5" x14ac:dyDescent="0.3">
      <c r="A532" t="s">
        <v>749</v>
      </c>
      <c r="B532" s="40">
        <v>3300</v>
      </c>
      <c r="D532" t="s">
        <v>749</v>
      </c>
      <c r="E532" s="40">
        <v>3300</v>
      </c>
    </row>
    <row r="533" spans="1:5" x14ac:dyDescent="0.3">
      <c r="A533" t="s">
        <v>937</v>
      </c>
      <c r="B533" s="40" t="s">
        <v>236</v>
      </c>
      <c r="D533" t="s">
        <v>937</v>
      </c>
      <c r="E533" s="40" t="s">
        <v>236</v>
      </c>
    </row>
    <row r="534" spans="1:5" x14ac:dyDescent="0.3">
      <c r="A534" t="s">
        <v>952</v>
      </c>
      <c r="B534" s="40" t="s">
        <v>953</v>
      </c>
      <c r="D534" t="s">
        <v>952</v>
      </c>
      <c r="E534" s="40" t="s">
        <v>953</v>
      </c>
    </row>
    <row r="535" spans="1:5" x14ac:dyDescent="0.3">
      <c r="A535" t="s">
        <v>954</v>
      </c>
      <c r="B535" s="40">
        <v>3200</v>
      </c>
      <c r="D535" t="s">
        <v>954</v>
      </c>
      <c r="E535" s="40">
        <v>3200</v>
      </c>
    </row>
    <row r="536" spans="1:5" x14ac:dyDescent="0.3">
      <c r="A536" t="s">
        <v>955</v>
      </c>
      <c r="B536" s="40">
        <v>4800</v>
      </c>
      <c r="D536" t="s">
        <v>955</v>
      </c>
      <c r="E536" s="40">
        <v>4800</v>
      </c>
    </row>
    <row r="537" spans="1:5" x14ac:dyDescent="0.3">
      <c r="A537" t="s">
        <v>956</v>
      </c>
      <c r="B537" s="40">
        <v>6400</v>
      </c>
      <c r="D537" t="s">
        <v>956</v>
      </c>
      <c r="E537" s="40">
        <v>6400</v>
      </c>
    </row>
    <row r="538" spans="1:5" x14ac:dyDescent="0.3">
      <c r="A538" t="s">
        <v>961</v>
      </c>
      <c r="B538" s="40" t="s">
        <v>962</v>
      </c>
      <c r="D538" t="s">
        <v>961</v>
      </c>
      <c r="E538" s="40" t="s">
        <v>962</v>
      </c>
    </row>
    <row r="539" spans="1:5" x14ac:dyDescent="0.3">
      <c r="A539" t="s">
        <v>963</v>
      </c>
      <c r="B539" s="40">
        <v>6510</v>
      </c>
      <c r="D539" t="s">
        <v>963</v>
      </c>
      <c r="E539" s="40">
        <v>6510</v>
      </c>
    </row>
    <row r="540" spans="1:5" x14ac:dyDescent="0.3">
      <c r="A540" t="s">
        <v>964</v>
      </c>
      <c r="B540" s="40">
        <v>7245</v>
      </c>
      <c r="D540" t="s">
        <v>964</v>
      </c>
      <c r="E540" s="40">
        <v>7245</v>
      </c>
    </row>
    <row r="541" spans="1:5" x14ac:dyDescent="0.3">
      <c r="A541" t="s">
        <v>965</v>
      </c>
      <c r="B541" s="40">
        <v>10266</v>
      </c>
      <c r="D541" t="s">
        <v>965</v>
      </c>
      <c r="E541" s="40">
        <v>10266</v>
      </c>
    </row>
    <row r="542" spans="1:5" x14ac:dyDescent="0.3">
      <c r="A542" t="s">
        <v>981</v>
      </c>
      <c r="B542" s="40" t="s">
        <v>982</v>
      </c>
      <c r="D542" t="s">
        <v>981</v>
      </c>
      <c r="E542" s="40" t="s">
        <v>982</v>
      </c>
    </row>
    <row r="543" spans="1:5" x14ac:dyDescent="0.3">
      <c r="A543" t="s">
        <v>983</v>
      </c>
      <c r="B543" s="40">
        <v>4500</v>
      </c>
      <c r="D543" t="s">
        <v>983</v>
      </c>
      <c r="E543" s="40">
        <v>4500</v>
      </c>
    </row>
    <row r="544" spans="1:5" x14ac:dyDescent="0.3">
      <c r="A544" t="s">
        <v>984</v>
      </c>
      <c r="B544" s="40">
        <v>5000</v>
      </c>
      <c r="D544" t="s">
        <v>984</v>
      </c>
      <c r="E544" s="40">
        <v>5000</v>
      </c>
    </row>
    <row r="545" spans="1:5" x14ac:dyDescent="0.3">
      <c r="A545" t="s">
        <v>985</v>
      </c>
      <c r="B545" s="40">
        <v>5500</v>
      </c>
      <c r="D545" t="s">
        <v>985</v>
      </c>
      <c r="E545" s="40">
        <v>5500</v>
      </c>
    </row>
    <row r="546" spans="1:5" x14ac:dyDescent="0.3">
      <c r="A546" t="s">
        <v>989</v>
      </c>
      <c r="B546" s="40" t="s">
        <v>953</v>
      </c>
      <c r="D546" t="s">
        <v>989</v>
      </c>
      <c r="E546" s="40" t="s">
        <v>953</v>
      </c>
    </row>
    <row r="547" spans="1:5" x14ac:dyDescent="0.3">
      <c r="A547" t="s">
        <v>990</v>
      </c>
      <c r="B547" s="40">
        <v>2400</v>
      </c>
      <c r="D547" t="s">
        <v>990</v>
      </c>
      <c r="E547" s="40">
        <v>2400</v>
      </c>
    </row>
    <row r="548" spans="1:5" x14ac:dyDescent="0.3">
      <c r="A548" t="s">
        <v>991</v>
      </c>
      <c r="B548" s="40">
        <v>2800</v>
      </c>
      <c r="D548" t="s">
        <v>991</v>
      </c>
      <c r="E548" s="40">
        <v>2800</v>
      </c>
    </row>
    <row r="549" spans="1:5" x14ac:dyDescent="0.3">
      <c r="A549" t="s">
        <v>992</v>
      </c>
      <c r="B549" s="40">
        <v>3000</v>
      </c>
      <c r="D549" t="s">
        <v>992</v>
      </c>
      <c r="E549" s="40">
        <v>3000</v>
      </c>
    </row>
    <row r="550" spans="1:5" x14ac:dyDescent="0.3">
      <c r="A550" t="s">
        <v>993</v>
      </c>
      <c r="B550" s="40">
        <v>3600</v>
      </c>
      <c r="D550" t="s">
        <v>993</v>
      </c>
      <c r="E550" s="40">
        <v>3600</v>
      </c>
    </row>
    <row r="551" spans="1:5" x14ac:dyDescent="0.3">
      <c r="A551" t="s">
        <v>994</v>
      </c>
      <c r="B551" s="40">
        <v>4800</v>
      </c>
      <c r="D551" t="s">
        <v>994</v>
      </c>
      <c r="E551" s="40">
        <v>4800</v>
      </c>
    </row>
    <row r="552" spans="1:5" x14ac:dyDescent="0.3">
      <c r="A552" t="s">
        <v>995</v>
      </c>
      <c r="B552" s="40">
        <v>4000</v>
      </c>
      <c r="D552" t="s">
        <v>995</v>
      </c>
      <c r="E552" s="40">
        <v>4000</v>
      </c>
    </row>
    <row r="553" spans="1:5" x14ac:dyDescent="0.3">
      <c r="A553" t="s">
        <v>1005</v>
      </c>
      <c r="B553" s="40" t="s">
        <v>998</v>
      </c>
      <c r="D553" t="s">
        <v>1005</v>
      </c>
      <c r="E553" s="40" t="s">
        <v>998</v>
      </c>
    </row>
    <row r="554" spans="1:5" x14ac:dyDescent="0.3">
      <c r="A554" t="s">
        <v>1006</v>
      </c>
      <c r="B554" s="40">
        <v>5900</v>
      </c>
      <c r="D554" t="s">
        <v>1006</v>
      </c>
      <c r="E554" s="40">
        <v>5900</v>
      </c>
    </row>
    <row r="555" spans="1:5" x14ac:dyDescent="0.3">
      <c r="A555" t="s">
        <v>1007</v>
      </c>
      <c r="B555" s="40">
        <v>6500</v>
      </c>
      <c r="D555" t="s">
        <v>1007</v>
      </c>
      <c r="E555" s="40">
        <v>6500</v>
      </c>
    </row>
    <row r="556" spans="1:5" x14ac:dyDescent="0.3">
      <c r="A556" t="s">
        <v>1008</v>
      </c>
      <c r="B556" s="40">
        <v>7300</v>
      </c>
      <c r="D556" t="s">
        <v>1008</v>
      </c>
      <c r="E556" s="40">
        <v>7300</v>
      </c>
    </row>
    <row r="557" spans="1:5" x14ac:dyDescent="0.3">
      <c r="A557" t="s">
        <v>1009</v>
      </c>
      <c r="B557" s="40">
        <v>6500</v>
      </c>
      <c r="D557" t="s">
        <v>1009</v>
      </c>
      <c r="E557" s="40">
        <v>6500</v>
      </c>
    </row>
    <row r="558" spans="1:5" x14ac:dyDescent="0.3">
      <c r="A558" t="s">
        <v>1010</v>
      </c>
      <c r="B558" s="40">
        <v>7500</v>
      </c>
      <c r="D558" t="s">
        <v>1010</v>
      </c>
      <c r="E558" s="40">
        <v>7500</v>
      </c>
    </row>
    <row r="559" spans="1:5" x14ac:dyDescent="0.3">
      <c r="A559" t="s">
        <v>1011</v>
      </c>
      <c r="B559" s="40">
        <v>8800</v>
      </c>
      <c r="D559" t="s">
        <v>1011</v>
      </c>
      <c r="E559" s="40">
        <v>8800</v>
      </c>
    </row>
    <row r="560" spans="1:5" x14ac:dyDescent="0.3">
      <c r="A560" t="s">
        <v>1012</v>
      </c>
      <c r="B560" s="40" t="s">
        <v>998</v>
      </c>
      <c r="D560" t="s">
        <v>1012</v>
      </c>
      <c r="E560" s="40" t="s">
        <v>998</v>
      </c>
    </row>
    <row r="561" spans="1:5" x14ac:dyDescent="0.3">
      <c r="A561" t="s">
        <v>1013</v>
      </c>
      <c r="B561" s="40">
        <v>7000</v>
      </c>
      <c r="D561" t="s">
        <v>1013</v>
      </c>
      <c r="E561" s="40">
        <v>7000</v>
      </c>
    </row>
    <row r="562" spans="1:5" x14ac:dyDescent="0.3">
      <c r="A562" t="s">
        <v>1014</v>
      </c>
      <c r="B562" s="40">
        <v>8200</v>
      </c>
      <c r="D562" t="s">
        <v>1014</v>
      </c>
      <c r="E562" s="40">
        <v>8200</v>
      </c>
    </row>
    <row r="563" spans="1:5" x14ac:dyDescent="0.3">
      <c r="A563" t="s">
        <v>1015</v>
      </c>
      <c r="B563" s="40">
        <v>9600</v>
      </c>
      <c r="D563" t="s">
        <v>1015</v>
      </c>
      <c r="E563" s="40">
        <v>9600</v>
      </c>
    </row>
    <row r="564" spans="1:5" x14ac:dyDescent="0.3">
      <c r="A564" t="s">
        <v>1016</v>
      </c>
      <c r="B564" s="40">
        <v>8800</v>
      </c>
      <c r="D564" t="s">
        <v>1016</v>
      </c>
      <c r="E564" s="40">
        <v>8800</v>
      </c>
    </row>
    <row r="565" spans="1:5" x14ac:dyDescent="0.3">
      <c r="A565" t="s">
        <v>1017</v>
      </c>
      <c r="B565" s="40">
        <v>10600</v>
      </c>
      <c r="D565" t="s">
        <v>1017</v>
      </c>
      <c r="E565" s="40">
        <v>10600</v>
      </c>
    </row>
    <row r="566" spans="1:5" x14ac:dyDescent="0.3">
      <c r="A566" t="s">
        <v>1018</v>
      </c>
      <c r="B566" s="40">
        <v>12700</v>
      </c>
      <c r="D566" t="s">
        <v>1018</v>
      </c>
      <c r="E566" s="40">
        <v>12700</v>
      </c>
    </row>
    <row r="567" spans="1:5" x14ac:dyDescent="0.3">
      <c r="A567" t="s">
        <v>1019</v>
      </c>
      <c r="B567" s="40" t="s">
        <v>998</v>
      </c>
      <c r="D567" t="s">
        <v>1019</v>
      </c>
      <c r="E567" s="40" t="s">
        <v>998</v>
      </c>
    </row>
    <row r="568" spans="1:5" x14ac:dyDescent="0.3">
      <c r="A568" t="s">
        <v>1020</v>
      </c>
      <c r="B568" s="40">
        <v>5000</v>
      </c>
      <c r="D568" t="s">
        <v>1020</v>
      </c>
      <c r="E568" s="40">
        <v>5000</v>
      </c>
    </row>
    <row r="569" spans="1:5" x14ac:dyDescent="0.3">
      <c r="A569" t="s">
        <v>1021</v>
      </c>
      <c r="B569" s="40">
        <v>6200</v>
      </c>
      <c r="D569" t="s">
        <v>1021</v>
      </c>
      <c r="E569" s="40">
        <v>6200</v>
      </c>
    </row>
    <row r="570" spans="1:5" x14ac:dyDescent="0.3">
      <c r="A570" t="s">
        <v>1022</v>
      </c>
      <c r="B570" s="40">
        <v>7600</v>
      </c>
      <c r="D570" t="s">
        <v>1022</v>
      </c>
      <c r="E570" s="40">
        <v>7600</v>
      </c>
    </row>
    <row r="571" spans="1:5" x14ac:dyDescent="0.3">
      <c r="A571" t="s">
        <v>1023</v>
      </c>
      <c r="B571" s="40">
        <v>6800</v>
      </c>
      <c r="D571" t="s">
        <v>1023</v>
      </c>
      <c r="E571" s="40">
        <v>6800</v>
      </c>
    </row>
    <row r="572" spans="1:5" x14ac:dyDescent="0.3">
      <c r="A572" t="s">
        <v>1024</v>
      </c>
      <c r="B572" s="40">
        <v>8600</v>
      </c>
      <c r="D572" t="s">
        <v>1024</v>
      </c>
      <c r="E572" s="40">
        <v>8600</v>
      </c>
    </row>
    <row r="573" spans="1:5" x14ac:dyDescent="0.3">
      <c r="A573" t="s">
        <v>1025</v>
      </c>
      <c r="B573" s="40">
        <v>10700</v>
      </c>
      <c r="D573" t="s">
        <v>1025</v>
      </c>
      <c r="E573" s="40">
        <v>10700</v>
      </c>
    </row>
    <row r="574" spans="1:5" x14ac:dyDescent="0.3">
      <c r="A574" t="s">
        <v>1026</v>
      </c>
      <c r="B574" s="40">
        <v>11000</v>
      </c>
      <c r="D574" t="s">
        <v>1026</v>
      </c>
      <c r="E574" s="40">
        <v>11000</v>
      </c>
    </row>
    <row r="575" spans="1:5" x14ac:dyDescent="0.3">
      <c r="A575" t="s">
        <v>1027</v>
      </c>
      <c r="B575" s="40">
        <v>16200</v>
      </c>
      <c r="D575" t="s">
        <v>1027</v>
      </c>
      <c r="E575" s="40">
        <v>16200</v>
      </c>
    </row>
    <row r="576" spans="1:5" x14ac:dyDescent="0.3">
      <c r="A576" t="s">
        <v>1028</v>
      </c>
      <c r="B576" s="40">
        <v>13400</v>
      </c>
      <c r="D576" t="s">
        <v>1028</v>
      </c>
      <c r="E576" s="40">
        <v>13400</v>
      </c>
    </row>
    <row r="577" spans="1:5" x14ac:dyDescent="0.3">
      <c r="A577" t="s">
        <v>1029</v>
      </c>
      <c r="B577" s="40" t="s">
        <v>998</v>
      </c>
      <c r="D577" t="s">
        <v>1029</v>
      </c>
      <c r="E577" s="40" t="s">
        <v>998</v>
      </c>
    </row>
    <row r="578" spans="1:5" x14ac:dyDescent="0.3">
      <c r="A578" t="s">
        <v>1030</v>
      </c>
      <c r="B578" s="40">
        <v>4800</v>
      </c>
      <c r="D578" t="s">
        <v>1030</v>
      </c>
      <c r="E578" s="40">
        <v>4800</v>
      </c>
    </row>
    <row r="579" spans="1:5" x14ac:dyDescent="0.3">
      <c r="A579" t="s">
        <v>1031</v>
      </c>
      <c r="B579" s="40">
        <v>5400</v>
      </c>
      <c r="D579" t="s">
        <v>1031</v>
      </c>
      <c r="E579" s="40">
        <v>5400</v>
      </c>
    </row>
    <row r="580" spans="1:5" x14ac:dyDescent="0.3">
      <c r="A580" t="s">
        <v>1032</v>
      </c>
      <c r="B580" s="40">
        <v>6200</v>
      </c>
      <c r="D580" t="s">
        <v>1032</v>
      </c>
      <c r="E580" s="40">
        <v>6200</v>
      </c>
    </row>
    <row r="581" spans="1:5" x14ac:dyDescent="0.3">
      <c r="A581" t="s">
        <v>1033</v>
      </c>
      <c r="B581" s="40">
        <v>5400</v>
      </c>
      <c r="D581" t="s">
        <v>1033</v>
      </c>
      <c r="E581" s="40">
        <v>5400</v>
      </c>
    </row>
    <row r="582" spans="1:5" x14ac:dyDescent="0.3">
      <c r="A582" t="s">
        <v>1034</v>
      </c>
      <c r="B582" s="40">
        <v>6400</v>
      </c>
      <c r="D582" t="s">
        <v>1034</v>
      </c>
      <c r="E582" s="40">
        <v>6400</v>
      </c>
    </row>
    <row r="583" spans="1:5" x14ac:dyDescent="0.3">
      <c r="A583" t="s">
        <v>1035</v>
      </c>
      <c r="B583" s="40">
        <v>7700</v>
      </c>
      <c r="D583" t="s">
        <v>1035</v>
      </c>
      <c r="E583" s="40">
        <v>7700</v>
      </c>
    </row>
    <row r="584" spans="1:5" x14ac:dyDescent="0.3">
      <c r="A584" t="s">
        <v>1040</v>
      </c>
      <c r="B584" s="40" t="s">
        <v>1041</v>
      </c>
      <c r="D584" t="s">
        <v>1040</v>
      </c>
      <c r="E584" s="40" t="s">
        <v>1041</v>
      </c>
    </row>
    <row r="585" spans="1:5" x14ac:dyDescent="0.3">
      <c r="A585" t="s">
        <v>1042</v>
      </c>
      <c r="B585" s="40">
        <v>2800</v>
      </c>
      <c r="D585" t="s">
        <v>1042</v>
      </c>
      <c r="E585" s="40">
        <v>2800</v>
      </c>
    </row>
    <row r="586" spans="1:5" x14ac:dyDescent="0.3">
      <c r="A586" t="s">
        <v>1043</v>
      </c>
      <c r="B586" s="40">
        <v>4200</v>
      </c>
      <c r="D586" t="s">
        <v>1043</v>
      </c>
      <c r="E586" s="40">
        <v>4200</v>
      </c>
    </row>
    <row r="587" spans="1:5" x14ac:dyDescent="0.3">
      <c r="A587" t="s">
        <v>1044</v>
      </c>
      <c r="B587" s="40">
        <v>4480</v>
      </c>
      <c r="D587" t="s">
        <v>1044</v>
      </c>
      <c r="E587" s="40">
        <v>4480</v>
      </c>
    </row>
    <row r="588" spans="1:5" x14ac:dyDescent="0.3">
      <c r="A588" t="s">
        <v>1045</v>
      </c>
      <c r="B588" s="40" t="s">
        <v>1041</v>
      </c>
      <c r="D588" t="s">
        <v>1045</v>
      </c>
      <c r="E588" s="40" t="s">
        <v>1041</v>
      </c>
    </row>
    <row r="589" spans="1:5" x14ac:dyDescent="0.3">
      <c r="A589" t="s">
        <v>1046</v>
      </c>
      <c r="B589" s="40">
        <v>4000</v>
      </c>
      <c r="D589" t="s">
        <v>1046</v>
      </c>
      <c r="E589" s="40">
        <v>4000</v>
      </c>
    </row>
    <row r="590" spans="1:5" x14ac:dyDescent="0.3">
      <c r="A590" t="s">
        <v>1047</v>
      </c>
      <c r="B590" s="40">
        <v>5100</v>
      </c>
      <c r="D590" t="s">
        <v>1047</v>
      </c>
      <c r="E590" s="40">
        <v>5100</v>
      </c>
    </row>
    <row r="591" spans="1:5" x14ac:dyDescent="0.3">
      <c r="A591" t="s">
        <v>1048</v>
      </c>
      <c r="B591" s="40">
        <v>5344</v>
      </c>
      <c r="D591" t="s">
        <v>1048</v>
      </c>
      <c r="E591" s="40">
        <v>5344</v>
      </c>
    </row>
    <row r="592" spans="1:5" x14ac:dyDescent="0.3">
      <c r="A592" t="s">
        <v>1049</v>
      </c>
      <c r="B592" s="40" t="s">
        <v>1041</v>
      </c>
      <c r="D592" t="s">
        <v>1049</v>
      </c>
      <c r="E592" s="40" t="s">
        <v>1041</v>
      </c>
    </row>
    <row r="593" spans="1:5" x14ac:dyDescent="0.3">
      <c r="A593" t="s">
        <v>1050</v>
      </c>
      <c r="B593" s="40">
        <v>4500</v>
      </c>
      <c r="D593" t="s">
        <v>1050</v>
      </c>
      <c r="E593" s="40">
        <v>4500</v>
      </c>
    </row>
    <row r="594" spans="1:5" x14ac:dyDescent="0.3">
      <c r="A594" t="s">
        <v>1051</v>
      </c>
      <c r="B594" s="40">
        <v>5600</v>
      </c>
      <c r="D594" t="s">
        <v>1051</v>
      </c>
      <c r="E594" s="40">
        <v>5600</v>
      </c>
    </row>
    <row r="595" spans="1:5" x14ac:dyDescent="0.3">
      <c r="A595" t="s">
        <v>1052</v>
      </c>
      <c r="B595" s="40">
        <v>5844</v>
      </c>
      <c r="D595" t="s">
        <v>1052</v>
      </c>
      <c r="E595" s="40">
        <v>5844</v>
      </c>
    </row>
    <row r="596" spans="1:5" x14ac:dyDescent="0.3">
      <c r="A596" t="s">
        <v>1056</v>
      </c>
      <c r="B596" s="40" t="s">
        <v>998</v>
      </c>
      <c r="D596" t="s">
        <v>1056</v>
      </c>
      <c r="E596" s="40" t="s">
        <v>998</v>
      </c>
    </row>
    <row r="597" spans="1:5" x14ac:dyDescent="0.3">
      <c r="A597" t="s">
        <v>1057</v>
      </c>
      <c r="B597" s="40">
        <v>4500</v>
      </c>
      <c r="D597" t="s">
        <v>1057</v>
      </c>
      <c r="E597" s="40">
        <v>4500</v>
      </c>
    </row>
    <row r="598" spans="1:5" x14ac:dyDescent="0.3">
      <c r="A598" t="s">
        <v>1058</v>
      </c>
      <c r="B598" s="40">
        <v>5500</v>
      </c>
      <c r="D598" t="s">
        <v>1058</v>
      </c>
      <c r="E598" s="40">
        <v>5500</v>
      </c>
    </row>
    <row r="599" spans="1:5" x14ac:dyDescent="0.3">
      <c r="A599" t="s">
        <v>1072</v>
      </c>
      <c r="B599" s="40" t="s">
        <v>324</v>
      </c>
      <c r="D599" t="s">
        <v>1072</v>
      </c>
      <c r="E599" s="40" t="s">
        <v>324</v>
      </c>
    </row>
    <row r="600" spans="1:5" x14ac:dyDescent="0.3">
      <c r="A600" t="s">
        <v>1073</v>
      </c>
      <c r="B600" s="40">
        <v>6600</v>
      </c>
      <c r="D600" t="s">
        <v>1073</v>
      </c>
      <c r="E600" s="40">
        <v>6600</v>
      </c>
    </row>
    <row r="601" spans="1:5" x14ac:dyDescent="0.3">
      <c r="A601" t="s">
        <v>1074</v>
      </c>
      <c r="B601" s="40">
        <v>6500</v>
      </c>
      <c r="D601" t="s">
        <v>1074</v>
      </c>
      <c r="E601" s="40">
        <v>6500</v>
      </c>
    </row>
    <row r="602" spans="1:5" x14ac:dyDescent="0.3">
      <c r="A602" t="s">
        <v>1075</v>
      </c>
      <c r="B602" s="40">
        <v>8500</v>
      </c>
      <c r="D602" t="s">
        <v>1075</v>
      </c>
      <c r="E602" s="40">
        <v>8500</v>
      </c>
    </row>
    <row r="603" spans="1:5" x14ac:dyDescent="0.3">
      <c r="A603" t="s">
        <v>1076</v>
      </c>
      <c r="B603" s="40">
        <v>7600</v>
      </c>
      <c r="D603" t="s">
        <v>1076</v>
      </c>
      <c r="E603" s="40">
        <v>7600</v>
      </c>
    </row>
    <row r="604" spans="1:5" x14ac:dyDescent="0.3">
      <c r="A604" t="s">
        <v>1077</v>
      </c>
      <c r="B604" s="40">
        <v>7750</v>
      </c>
      <c r="D604" t="s">
        <v>1077</v>
      </c>
      <c r="E604" s="40">
        <v>7750</v>
      </c>
    </row>
    <row r="605" spans="1:5" x14ac:dyDescent="0.3">
      <c r="A605" t="s">
        <v>1078</v>
      </c>
      <c r="B605" s="40">
        <v>10150</v>
      </c>
      <c r="D605" t="s">
        <v>1078</v>
      </c>
      <c r="E605" s="40">
        <v>10150</v>
      </c>
    </row>
    <row r="606" spans="1:5" x14ac:dyDescent="0.3">
      <c r="A606" t="s">
        <v>1079</v>
      </c>
      <c r="B606" s="40" t="s">
        <v>324</v>
      </c>
      <c r="D606" t="s">
        <v>1079</v>
      </c>
      <c r="E606" s="40" t="s">
        <v>324</v>
      </c>
    </row>
    <row r="607" spans="1:5" x14ac:dyDescent="0.3">
      <c r="A607" t="s">
        <v>1080</v>
      </c>
      <c r="B607" s="40">
        <v>7500</v>
      </c>
      <c r="D607" t="s">
        <v>1080</v>
      </c>
      <c r="E607" s="40">
        <v>7500</v>
      </c>
    </row>
    <row r="608" spans="1:5" x14ac:dyDescent="0.3">
      <c r="A608" t="s">
        <v>1081</v>
      </c>
      <c r="B608" s="40">
        <v>8000</v>
      </c>
      <c r="D608" t="s">
        <v>1081</v>
      </c>
      <c r="E608" s="40">
        <v>8000</v>
      </c>
    </row>
    <row r="609" spans="1:5" x14ac:dyDescent="0.3">
      <c r="A609" t="s">
        <v>1082</v>
      </c>
      <c r="B609" s="40">
        <v>8800</v>
      </c>
      <c r="D609" t="s">
        <v>1082</v>
      </c>
      <c r="E609" s="40">
        <v>8800</v>
      </c>
    </row>
    <row r="610" spans="1:5" x14ac:dyDescent="0.3">
      <c r="A610" t="s">
        <v>1083</v>
      </c>
      <c r="B610" s="40">
        <v>8500</v>
      </c>
      <c r="D610" t="s">
        <v>1083</v>
      </c>
      <c r="E610" s="40">
        <v>8500</v>
      </c>
    </row>
    <row r="611" spans="1:5" x14ac:dyDescent="0.3">
      <c r="A611" t="s">
        <v>1084</v>
      </c>
      <c r="B611" s="40">
        <v>9250</v>
      </c>
      <c r="D611" t="s">
        <v>1084</v>
      </c>
      <c r="E611" s="40">
        <v>9250</v>
      </c>
    </row>
    <row r="612" spans="1:5" x14ac:dyDescent="0.3">
      <c r="A612" t="s">
        <v>1085</v>
      </c>
      <c r="B612" s="40">
        <v>10450</v>
      </c>
      <c r="D612" t="s">
        <v>1085</v>
      </c>
      <c r="E612" s="40">
        <v>10450</v>
      </c>
    </row>
    <row r="613" spans="1:5" x14ac:dyDescent="0.3">
      <c r="A613" t="s">
        <v>1093</v>
      </c>
      <c r="B613" s="40" t="s">
        <v>324</v>
      </c>
      <c r="D613" t="s">
        <v>1093</v>
      </c>
      <c r="E613" s="40" t="s">
        <v>324</v>
      </c>
    </row>
    <row r="614" spans="1:5" x14ac:dyDescent="0.3">
      <c r="A614" t="s">
        <v>1094</v>
      </c>
      <c r="B614" s="40">
        <v>9200</v>
      </c>
      <c r="D614" t="s">
        <v>1094</v>
      </c>
      <c r="E614" s="40">
        <v>9200</v>
      </c>
    </row>
    <row r="615" spans="1:5" x14ac:dyDescent="0.3">
      <c r="A615" t="s">
        <v>1095</v>
      </c>
      <c r="B615" s="40">
        <v>10200</v>
      </c>
      <c r="D615" t="s">
        <v>1095</v>
      </c>
      <c r="E615" s="40">
        <v>10200</v>
      </c>
    </row>
    <row r="616" spans="1:5" x14ac:dyDescent="0.3">
      <c r="A616" t="s">
        <v>1096</v>
      </c>
      <c r="B616" s="40">
        <v>11800</v>
      </c>
      <c r="D616" t="s">
        <v>1096</v>
      </c>
      <c r="E616" s="40">
        <v>11800</v>
      </c>
    </row>
    <row r="617" spans="1:5" x14ac:dyDescent="0.3">
      <c r="A617" t="s">
        <v>1097</v>
      </c>
      <c r="B617" s="40">
        <v>9200</v>
      </c>
      <c r="D617" t="s">
        <v>1097</v>
      </c>
      <c r="E617" s="40">
        <v>9200</v>
      </c>
    </row>
    <row r="618" spans="1:5" x14ac:dyDescent="0.3">
      <c r="A618" t="s">
        <v>1098</v>
      </c>
      <c r="B618" s="40">
        <v>11800</v>
      </c>
      <c r="D618" t="s">
        <v>1098</v>
      </c>
      <c r="E618" s="40">
        <v>11800</v>
      </c>
    </row>
    <row r="619" spans="1:5" x14ac:dyDescent="0.3">
      <c r="A619" t="s">
        <v>1099</v>
      </c>
      <c r="B619" s="40">
        <v>10200</v>
      </c>
      <c r="D619" t="s">
        <v>1099</v>
      </c>
      <c r="E619" s="40">
        <v>10200</v>
      </c>
    </row>
    <row r="620" spans="1:5" x14ac:dyDescent="0.3">
      <c r="A620" t="s">
        <v>1086</v>
      </c>
      <c r="B620" s="40" t="s">
        <v>324</v>
      </c>
      <c r="D620" t="s">
        <v>1086</v>
      </c>
      <c r="E620" s="40" t="s">
        <v>324</v>
      </c>
    </row>
    <row r="621" spans="1:5" x14ac:dyDescent="0.3">
      <c r="A621" t="s">
        <v>1087</v>
      </c>
      <c r="B621" s="40">
        <v>16000</v>
      </c>
      <c r="D621" t="s">
        <v>1087</v>
      </c>
      <c r="E621" s="40">
        <v>16000</v>
      </c>
    </row>
    <row r="622" spans="1:5" x14ac:dyDescent="0.3">
      <c r="A622" t="s">
        <v>1088</v>
      </c>
      <c r="B622" s="40">
        <v>16500</v>
      </c>
      <c r="D622" t="s">
        <v>1088</v>
      </c>
      <c r="E622" s="40">
        <v>16500</v>
      </c>
    </row>
    <row r="623" spans="1:5" x14ac:dyDescent="0.3">
      <c r="A623" t="s">
        <v>1089</v>
      </c>
      <c r="B623" s="40">
        <v>17500</v>
      </c>
      <c r="D623" t="s">
        <v>1089</v>
      </c>
      <c r="E623" s="40">
        <v>17500</v>
      </c>
    </row>
    <row r="624" spans="1:5" x14ac:dyDescent="0.3">
      <c r="A624" t="s">
        <v>1090</v>
      </c>
      <c r="B624" s="40">
        <v>17000</v>
      </c>
      <c r="D624" t="s">
        <v>1090</v>
      </c>
      <c r="E624" s="40">
        <v>17000</v>
      </c>
    </row>
    <row r="625" spans="1:5" x14ac:dyDescent="0.3">
      <c r="A625" t="s">
        <v>1091</v>
      </c>
      <c r="B625" s="40">
        <v>17750</v>
      </c>
      <c r="D625" t="s">
        <v>1091</v>
      </c>
      <c r="E625" s="40">
        <v>17750</v>
      </c>
    </row>
    <row r="626" spans="1:5" x14ac:dyDescent="0.3">
      <c r="A626" t="s">
        <v>1092</v>
      </c>
      <c r="B626" s="40">
        <v>19150</v>
      </c>
      <c r="D626" t="s">
        <v>1092</v>
      </c>
      <c r="E626" s="40">
        <v>19150</v>
      </c>
    </row>
    <row r="627" spans="1:5" x14ac:dyDescent="0.3">
      <c r="A627" t="s">
        <v>1102</v>
      </c>
      <c r="B627" s="40" t="s">
        <v>419</v>
      </c>
      <c r="D627" t="s">
        <v>1102</v>
      </c>
      <c r="E627" s="40" t="s">
        <v>419</v>
      </c>
    </row>
    <row r="628" spans="1:5" x14ac:dyDescent="0.3">
      <c r="A628" t="s">
        <v>1103</v>
      </c>
      <c r="B628" s="40">
        <v>5000</v>
      </c>
      <c r="D628" t="s">
        <v>1103</v>
      </c>
      <c r="E628" s="40">
        <v>5000</v>
      </c>
    </row>
    <row r="629" spans="1:5" x14ac:dyDescent="0.3">
      <c r="A629" t="s">
        <v>1104</v>
      </c>
      <c r="B629" s="40">
        <v>6000</v>
      </c>
      <c r="D629" t="s">
        <v>1104</v>
      </c>
      <c r="E629" s="40">
        <v>6000</v>
      </c>
    </row>
    <row r="630" spans="1:5" x14ac:dyDescent="0.3">
      <c r="A630" t="s">
        <v>1105</v>
      </c>
      <c r="B630" s="40">
        <v>8000</v>
      </c>
      <c r="D630" t="s">
        <v>1105</v>
      </c>
      <c r="E630" s="40">
        <v>8000</v>
      </c>
    </row>
    <row r="631" spans="1:5" x14ac:dyDescent="0.3">
      <c r="A631" t="s">
        <v>1106</v>
      </c>
      <c r="B631" s="40" t="s">
        <v>419</v>
      </c>
      <c r="D631" t="s">
        <v>1106</v>
      </c>
      <c r="E631" s="40" t="s">
        <v>419</v>
      </c>
    </row>
    <row r="632" spans="1:5" x14ac:dyDescent="0.3">
      <c r="A632" t="s">
        <v>1107</v>
      </c>
      <c r="B632" s="40">
        <v>4500</v>
      </c>
      <c r="D632" t="s">
        <v>1107</v>
      </c>
      <c r="E632" s="40">
        <v>4500</v>
      </c>
    </row>
    <row r="633" spans="1:5" x14ac:dyDescent="0.3">
      <c r="A633" t="s">
        <v>1108</v>
      </c>
      <c r="B633" s="40">
        <v>5600</v>
      </c>
      <c r="D633" t="s">
        <v>1108</v>
      </c>
      <c r="E633" s="40">
        <v>5600</v>
      </c>
    </row>
    <row r="634" spans="1:5" x14ac:dyDescent="0.3">
      <c r="A634" t="s">
        <v>1109</v>
      </c>
      <c r="B634" s="40">
        <v>6800</v>
      </c>
      <c r="D634" t="s">
        <v>1109</v>
      </c>
      <c r="E634" s="40">
        <v>6800</v>
      </c>
    </row>
    <row r="635" spans="1:5" x14ac:dyDescent="0.3">
      <c r="A635" t="s">
        <v>1114</v>
      </c>
      <c r="B635" s="40" t="s">
        <v>419</v>
      </c>
      <c r="D635" t="s">
        <v>1114</v>
      </c>
      <c r="E635" s="40" t="s">
        <v>419</v>
      </c>
    </row>
    <row r="636" spans="1:5" x14ac:dyDescent="0.3">
      <c r="A636" t="s">
        <v>1115</v>
      </c>
      <c r="B636" s="40">
        <v>5500</v>
      </c>
      <c r="D636" t="s">
        <v>1115</v>
      </c>
      <c r="E636" s="40">
        <v>5500</v>
      </c>
    </row>
    <row r="637" spans="1:5" x14ac:dyDescent="0.3">
      <c r="A637" t="s">
        <v>1116</v>
      </c>
      <c r="B637" s="40">
        <v>6000</v>
      </c>
      <c r="D637" t="s">
        <v>1116</v>
      </c>
      <c r="E637" s="40">
        <v>6000</v>
      </c>
    </row>
    <row r="638" spans="1:5" x14ac:dyDescent="0.3">
      <c r="A638" t="s">
        <v>1117</v>
      </c>
      <c r="B638" s="40">
        <v>6500</v>
      </c>
      <c r="D638" t="s">
        <v>1117</v>
      </c>
      <c r="E638" s="40">
        <v>6500</v>
      </c>
    </row>
    <row r="639" spans="1:5" x14ac:dyDescent="0.3">
      <c r="A639" t="s">
        <v>1118</v>
      </c>
      <c r="B639" s="40">
        <v>6500</v>
      </c>
      <c r="D639" t="s">
        <v>1118</v>
      </c>
      <c r="E639" s="40">
        <v>6500</v>
      </c>
    </row>
    <row r="640" spans="1:5" x14ac:dyDescent="0.3">
      <c r="A640" t="s">
        <v>1119</v>
      </c>
      <c r="B640" s="40">
        <v>7000</v>
      </c>
      <c r="D640" t="s">
        <v>1119</v>
      </c>
      <c r="E640" s="40">
        <v>7000</v>
      </c>
    </row>
    <row r="641" spans="1:5" x14ac:dyDescent="0.3">
      <c r="A641" t="s">
        <v>1120</v>
      </c>
      <c r="B641" s="40">
        <v>7500</v>
      </c>
      <c r="D641" t="s">
        <v>1120</v>
      </c>
      <c r="E641" s="40">
        <v>7500</v>
      </c>
    </row>
    <row r="642" spans="1:5" x14ac:dyDescent="0.3">
      <c r="A642" t="s">
        <v>1121</v>
      </c>
      <c r="B642" s="40" t="s">
        <v>962</v>
      </c>
      <c r="D642" t="s">
        <v>1121</v>
      </c>
      <c r="E642" s="40" t="s">
        <v>962</v>
      </c>
    </row>
    <row r="643" spans="1:5" x14ac:dyDescent="0.3">
      <c r="A643" t="s">
        <v>1122</v>
      </c>
      <c r="B643" s="40">
        <v>4200</v>
      </c>
      <c r="D643" t="s">
        <v>1122</v>
      </c>
      <c r="E643" s="40">
        <v>4200</v>
      </c>
    </row>
    <row r="644" spans="1:5" x14ac:dyDescent="0.3">
      <c r="A644" t="s">
        <v>1123</v>
      </c>
      <c r="B644" s="40">
        <v>4500</v>
      </c>
      <c r="D644" t="s">
        <v>1123</v>
      </c>
      <c r="E644" s="40">
        <v>4500</v>
      </c>
    </row>
    <row r="645" spans="1:5" x14ac:dyDescent="0.3">
      <c r="A645" t="s">
        <v>1124</v>
      </c>
      <c r="B645" s="40">
        <v>5200</v>
      </c>
      <c r="D645" t="s">
        <v>1124</v>
      </c>
      <c r="E645" s="40">
        <v>5200</v>
      </c>
    </row>
    <row r="646" spans="1:5" x14ac:dyDescent="0.3">
      <c r="A646" t="s">
        <v>1125</v>
      </c>
      <c r="B646" s="40">
        <v>4700</v>
      </c>
      <c r="D646" t="s">
        <v>1125</v>
      </c>
      <c r="E646" s="40">
        <v>4700</v>
      </c>
    </row>
    <row r="647" spans="1:5" x14ac:dyDescent="0.3">
      <c r="A647" t="s">
        <v>1126</v>
      </c>
      <c r="B647" s="40">
        <v>5200</v>
      </c>
      <c r="D647" t="s">
        <v>1126</v>
      </c>
      <c r="E647" s="40">
        <v>5200</v>
      </c>
    </row>
    <row r="648" spans="1:5" x14ac:dyDescent="0.3">
      <c r="A648" t="s">
        <v>1127</v>
      </c>
      <c r="B648" s="40">
        <v>6200</v>
      </c>
      <c r="D648" t="s">
        <v>1127</v>
      </c>
      <c r="E648" s="40">
        <v>6200</v>
      </c>
    </row>
    <row r="649" spans="1:5" x14ac:dyDescent="0.3">
      <c r="A649" t="s">
        <v>1128</v>
      </c>
      <c r="B649" s="40">
        <v>5200</v>
      </c>
      <c r="D649" t="s">
        <v>1128</v>
      </c>
      <c r="E649" s="40">
        <v>5200</v>
      </c>
    </row>
    <row r="650" spans="1:5" x14ac:dyDescent="0.3">
      <c r="A650" t="s">
        <v>1129</v>
      </c>
      <c r="B650" s="40">
        <v>7800</v>
      </c>
      <c r="D650" t="s">
        <v>1129</v>
      </c>
      <c r="E650" s="40">
        <v>7800</v>
      </c>
    </row>
    <row r="651" spans="1:5" x14ac:dyDescent="0.3">
      <c r="A651" t="s">
        <v>1130</v>
      </c>
      <c r="B651" s="40">
        <v>5800</v>
      </c>
      <c r="D651" t="s">
        <v>1130</v>
      </c>
      <c r="E651" s="40">
        <v>5800</v>
      </c>
    </row>
    <row r="652" spans="1:5" x14ac:dyDescent="0.3">
      <c r="A652" t="s">
        <v>1131</v>
      </c>
      <c r="B652" s="40" t="s">
        <v>962</v>
      </c>
      <c r="D652" t="s">
        <v>1131</v>
      </c>
      <c r="E652" s="40" t="s">
        <v>962</v>
      </c>
    </row>
    <row r="653" spans="1:5" x14ac:dyDescent="0.3">
      <c r="A653" t="s">
        <v>1132</v>
      </c>
      <c r="B653" s="40">
        <v>5800</v>
      </c>
      <c r="D653" t="s">
        <v>1132</v>
      </c>
      <c r="E653" s="40">
        <v>5800</v>
      </c>
    </row>
    <row r="654" spans="1:5" x14ac:dyDescent="0.3">
      <c r="A654" t="s">
        <v>1133</v>
      </c>
      <c r="B654" s="40">
        <v>6000</v>
      </c>
      <c r="D654" t="s">
        <v>1133</v>
      </c>
      <c r="E654" s="40">
        <v>6000</v>
      </c>
    </row>
    <row r="655" spans="1:5" x14ac:dyDescent="0.3">
      <c r="A655" t="s">
        <v>1134</v>
      </c>
      <c r="B655" s="40">
        <v>6200</v>
      </c>
      <c r="D655" t="s">
        <v>1134</v>
      </c>
      <c r="E655" s="40">
        <v>6200</v>
      </c>
    </row>
    <row r="656" spans="1:5" x14ac:dyDescent="0.3">
      <c r="A656" t="s">
        <v>1135</v>
      </c>
      <c r="B656" s="40">
        <v>6200</v>
      </c>
      <c r="D656" t="s">
        <v>1135</v>
      </c>
      <c r="E656" s="40">
        <v>6200</v>
      </c>
    </row>
    <row r="657" spans="1:5" x14ac:dyDescent="0.3">
      <c r="A657" t="s">
        <v>1136</v>
      </c>
      <c r="B657" s="40">
        <v>6800</v>
      </c>
      <c r="D657" t="s">
        <v>1136</v>
      </c>
      <c r="E657" s="40">
        <v>6800</v>
      </c>
    </row>
    <row r="658" spans="1:5" x14ac:dyDescent="0.3">
      <c r="A658" t="s">
        <v>1137</v>
      </c>
      <c r="B658" s="40">
        <v>7500</v>
      </c>
      <c r="D658" t="s">
        <v>1137</v>
      </c>
      <c r="E658" s="40">
        <v>7500</v>
      </c>
    </row>
    <row r="659" spans="1:5" x14ac:dyDescent="0.3">
      <c r="A659" t="s">
        <v>1141</v>
      </c>
      <c r="B659" s="40" t="s">
        <v>419</v>
      </c>
      <c r="D659" t="s">
        <v>1141</v>
      </c>
      <c r="E659" s="40" t="s">
        <v>419</v>
      </c>
    </row>
    <row r="660" spans="1:5" x14ac:dyDescent="0.3">
      <c r="A660" t="s">
        <v>1142</v>
      </c>
      <c r="B660" s="40">
        <v>5500</v>
      </c>
      <c r="D660" t="s">
        <v>1142</v>
      </c>
      <c r="E660" s="40">
        <v>5500</v>
      </c>
    </row>
    <row r="661" spans="1:5" x14ac:dyDescent="0.3">
      <c r="A661" t="s">
        <v>1143</v>
      </c>
      <c r="B661" s="40">
        <v>7300</v>
      </c>
      <c r="D661" t="s">
        <v>1143</v>
      </c>
      <c r="E661" s="40">
        <v>7300</v>
      </c>
    </row>
    <row r="662" spans="1:5" x14ac:dyDescent="0.3">
      <c r="A662" t="s">
        <v>1144</v>
      </c>
      <c r="B662" s="40" t="s">
        <v>419</v>
      </c>
      <c r="D662" t="s">
        <v>1144</v>
      </c>
      <c r="E662" s="40" t="s">
        <v>419</v>
      </c>
    </row>
    <row r="663" spans="1:5" x14ac:dyDescent="0.3">
      <c r="A663" t="s">
        <v>1145</v>
      </c>
      <c r="B663" s="40">
        <v>4500</v>
      </c>
      <c r="D663" t="s">
        <v>1145</v>
      </c>
      <c r="E663" s="40">
        <v>4500</v>
      </c>
    </row>
    <row r="664" spans="1:5" x14ac:dyDescent="0.3">
      <c r="A664" t="s">
        <v>1146</v>
      </c>
      <c r="B664" s="40">
        <v>6000</v>
      </c>
      <c r="D664" t="s">
        <v>1146</v>
      </c>
      <c r="E664" s="40">
        <v>6000</v>
      </c>
    </row>
    <row r="665" spans="1:5" x14ac:dyDescent="0.3">
      <c r="A665" t="s">
        <v>1147</v>
      </c>
      <c r="B665" s="40" t="s">
        <v>419</v>
      </c>
      <c r="D665" t="s">
        <v>1147</v>
      </c>
      <c r="E665" s="40" t="s">
        <v>419</v>
      </c>
    </row>
    <row r="666" spans="1:5" x14ac:dyDescent="0.3">
      <c r="A666" t="s">
        <v>1148</v>
      </c>
      <c r="B666" s="40">
        <v>7500</v>
      </c>
      <c r="D666" t="s">
        <v>1148</v>
      </c>
      <c r="E666" s="40">
        <v>7500</v>
      </c>
    </row>
    <row r="667" spans="1:5" x14ac:dyDescent="0.3">
      <c r="A667" t="s">
        <v>1149</v>
      </c>
      <c r="B667" s="40">
        <v>9500</v>
      </c>
      <c r="D667" t="s">
        <v>1149</v>
      </c>
      <c r="E667" s="40">
        <v>9500</v>
      </c>
    </row>
    <row r="668" spans="1:5" x14ac:dyDescent="0.3">
      <c r="A668" t="s">
        <v>1151</v>
      </c>
      <c r="B668" s="40" t="s">
        <v>1152</v>
      </c>
      <c r="D668" t="s">
        <v>1151</v>
      </c>
      <c r="E668" s="40" t="s">
        <v>1152</v>
      </c>
    </row>
    <row r="669" spans="1:5" x14ac:dyDescent="0.3">
      <c r="A669" t="s">
        <v>1153</v>
      </c>
      <c r="B669" s="40">
        <v>1500</v>
      </c>
      <c r="D669" t="s">
        <v>1153</v>
      </c>
      <c r="E669" s="40">
        <v>1500</v>
      </c>
    </row>
    <row r="670" spans="1:5" x14ac:dyDescent="0.3">
      <c r="A670" t="s">
        <v>1154</v>
      </c>
      <c r="B670" s="40">
        <v>1700</v>
      </c>
      <c r="D670" t="s">
        <v>1154</v>
      </c>
      <c r="E670" s="40">
        <v>1700</v>
      </c>
    </row>
    <row r="671" spans="1:5" x14ac:dyDescent="0.3">
      <c r="A671" t="s">
        <v>1155</v>
      </c>
      <c r="B671" s="40">
        <v>2000</v>
      </c>
      <c r="D671" t="s">
        <v>1155</v>
      </c>
      <c r="E671" s="40">
        <v>2000</v>
      </c>
    </row>
    <row r="672" spans="1:5" x14ac:dyDescent="0.3">
      <c r="A672" t="s">
        <v>1156</v>
      </c>
      <c r="B672" s="40">
        <v>1850</v>
      </c>
      <c r="D672" t="s">
        <v>1156</v>
      </c>
      <c r="E672" s="40">
        <v>1850</v>
      </c>
    </row>
    <row r="673" spans="1:5" x14ac:dyDescent="0.3">
      <c r="A673" t="s">
        <v>1157</v>
      </c>
      <c r="B673" s="40">
        <v>2150</v>
      </c>
      <c r="D673" t="s">
        <v>1157</v>
      </c>
      <c r="E673" s="40">
        <v>2150</v>
      </c>
    </row>
    <row r="674" spans="1:5" x14ac:dyDescent="0.3">
      <c r="A674" t="s">
        <v>1158</v>
      </c>
      <c r="B674" s="40">
        <v>2650</v>
      </c>
      <c r="D674" t="s">
        <v>1158</v>
      </c>
      <c r="E674" s="40">
        <v>2650</v>
      </c>
    </row>
    <row r="675" spans="1:5" x14ac:dyDescent="0.3">
      <c r="A675" t="s">
        <v>1167</v>
      </c>
      <c r="B675" s="40" t="s">
        <v>1159</v>
      </c>
      <c r="D675" t="s">
        <v>1167</v>
      </c>
      <c r="E675" s="40" t="s">
        <v>1159</v>
      </c>
    </row>
    <row r="676" spans="1:5" x14ac:dyDescent="0.3">
      <c r="A676" t="s">
        <v>1168</v>
      </c>
      <c r="B676" s="40">
        <v>4000</v>
      </c>
      <c r="D676" t="s">
        <v>1168</v>
      </c>
      <c r="E676" s="40">
        <v>4000</v>
      </c>
    </row>
    <row r="677" spans="1:5" x14ac:dyDescent="0.3">
      <c r="A677" t="s">
        <v>1169</v>
      </c>
      <c r="B677" s="40">
        <v>4500</v>
      </c>
      <c r="D677" t="s">
        <v>1169</v>
      </c>
      <c r="E677" s="40">
        <v>4500</v>
      </c>
    </row>
    <row r="678" spans="1:5" x14ac:dyDescent="0.3">
      <c r="A678" t="s">
        <v>1170</v>
      </c>
      <c r="B678" s="40">
        <v>5000</v>
      </c>
      <c r="D678" t="s">
        <v>1170</v>
      </c>
      <c r="E678" s="40">
        <v>5000</v>
      </c>
    </row>
    <row r="679" spans="1:5" x14ac:dyDescent="0.3">
      <c r="A679" t="s">
        <v>1171</v>
      </c>
      <c r="B679" s="40">
        <v>4750</v>
      </c>
      <c r="D679" t="s">
        <v>1171</v>
      </c>
      <c r="E679" s="40">
        <v>4750</v>
      </c>
    </row>
    <row r="680" spans="1:5" x14ac:dyDescent="0.3">
      <c r="A680" t="s">
        <v>1172</v>
      </c>
      <c r="B680" s="40">
        <v>5400</v>
      </c>
      <c r="D680" t="s">
        <v>1172</v>
      </c>
      <c r="E680" s="40">
        <v>5400</v>
      </c>
    </row>
    <row r="681" spans="1:5" x14ac:dyDescent="0.3">
      <c r="A681" t="s">
        <v>1173</v>
      </c>
      <c r="B681" s="40">
        <v>6200</v>
      </c>
      <c r="D681" t="s">
        <v>1173</v>
      </c>
      <c r="E681" s="40">
        <v>6200</v>
      </c>
    </row>
    <row r="682" spans="1:5" x14ac:dyDescent="0.3">
      <c r="A682" t="s">
        <v>1175</v>
      </c>
      <c r="B682" s="40" t="s">
        <v>1160</v>
      </c>
      <c r="D682" t="s">
        <v>1175</v>
      </c>
      <c r="E682" s="40" t="s">
        <v>1160</v>
      </c>
    </row>
    <row r="683" spans="1:5" x14ac:dyDescent="0.3">
      <c r="A683" t="s">
        <v>1176</v>
      </c>
      <c r="B683" s="40">
        <v>3000</v>
      </c>
      <c r="D683" t="s">
        <v>1176</v>
      </c>
      <c r="E683" s="40">
        <v>3000</v>
      </c>
    </row>
    <row r="684" spans="1:5" x14ac:dyDescent="0.3">
      <c r="A684" t="s">
        <v>1177</v>
      </c>
      <c r="B684" s="40">
        <v>3500</v>
      </c>
      <c r="D684" t="s">
        <v>1177</v>
      </c>
      <c r="E684" s="40">
        <v>3500</v>
      </c>
    </row>
    <row r="685" spans="1:5" x14ac:dyDescent="0.3">
      <c r="A685" t="s">
        <v>1178</v>
      </c>
      <c r="B685" s="40">
        <v>4000</v>
      </c>
      <c r="D685" t="s">
        <v>1178</v>
      </c>
      <c r="E685" s="40">
        <v>4000</v>
      </c>
    </row>
    <row r="686" spans="1:5" x14ac:dyDescent="0.3">
      <c r="A686" t="s">
        <v>1179</v>
      </c>
      <c r="B686" s="40">
        <v>3750</v>
      </c>
      <c r="D686" t="s">
        <v>1179</v>
      </c>
      <c r="E686" s="40">
        <v>3750</v>
      </c>
    </row>
    <row r="687" spans="1:5" x14ac:dyDescent="0.3">
      <c r="A687" t="s">
        <v>1180</v>
      </c>
      <c r="B687" s="40">
        <v>4400</v>
      </c>
      <c r="D687" t="s">
        <v>1180</v>
      </c>
      <c r="E687" s="40">
        <v>4400</v>
      </c>
    </row>
    <row r="688" spans="1:5" x14ac:dyDescent="0.3">
      <c r="A688" t="s">
        <v>1181</v>
      </c>
      <c r="B688" s="40">
        <v>5200</v>
      </c>
      <c r="D688" t="s">
        <v>1181</v>
      </c>
      <c r="E688" s="40">
        <v>5200</v>
      </c>
    </row>
    <row r="689" spans="1:5" x14ac:dyDescent="0.3">
      <c r="A689" t="s">
        <v>1184</v>
      </c>
      <c r="B689" s="40" t="s">
        <v>346</v>
      </c>
      <c r="D689" t="s">
        <v>1184</v>
      </c>
      <c r="E689" s="40" t="s">
        <v>346</v>
      </c>
    </row>
    <row r="690" spans="1:5" x14ac:dyDescent="0.3">
      <c r="A690" t="s">
        <v>1185</v>
      </c>
      <c r="B690" s="40">
        <v>4000</v>
      </c>
      <c r="D690" t="s">
        <v>1185</v>
      </c>
      <c r="E690" s="40">
        <v>4000</v>
      </c>
    </row>
    <row r="691" spans="1:5" x14ac:dyDescent="0.3">
      <c r="A691" t="s">
        <v>1186</v>
      </c>
      <c r="B691" s="40">
        <v>5050</v>
      </c>
      <c r="D691" t="s">
        <v>1186</v>
      </c>
      <c r="E691" s="40">
        <v>5050</v>
      </c>
    </row>
    <row r="692" spans="1:5" x14ac:dyDescent="0.3">
      <c r="A692" t="s">
        <v>1187</v>
      </c>
      <c r="B692" s="40" t="s">
        <v>361</v>
      </c>
      <c r="D692" t="s">
        <v>1187</v>
      </c>
      <c r="E692" s="40" t="s">
        <v>361</v>
      </c>
    </row>
    <row r="693" spans="1:5" x14ac:dyDescent="0.3">
      <c r="A693" t="s">
        <v>1188</v>
      </c>
      <c r="B693" s="40">
        <v>4500</v>
      </c>
      <c r="D693" t="s">
        <v>1188</v>
      </c>
      <c r="E693" s="40">
        <v>4500</v>
      </c>
    </row>
    <row r="694" spans="1:5" x14ac:dyDescent="0.3">
      <c r="A694" t="s">
        <v>1189</v>
      </c>
      <c r="B694" s="40">
        <v>5600</v>
      </c>
      <c r="D694" t="s">
        <v>1189</v>
      </c>
      <c r="E694" s="40">
        <v>5600</v>
      </c>
    </row>
    <row r="695" spans="1:5" x14ac:dyDescent="0.3">
      <c r="A695" t="s">
        <v>1191</v>
      </c>
      <c r="B695" s="40" t="s">
        <v>982</v>
      </c>
      <c r="D695" t="s">
        <v>1191</v>
      </c>
      <c r="E695" s="40" t="s">
        <v>982</v>
      </c>
    </row>
    <row r="696" spans="1:5" x14ac:dyDescent="0.3">
      <c r="A696" t="s">
        <v>1192</v>
      </c>
      <c r="B696" s="40">
        <v>5500</v>
      </c>
      <c r="D696" t="s">
        <v>1192</v>
      </c>
      <c r="E696" s="40">
        <v>5500</v>
      </c>
    </row>
    <row r="697" spans="1:5" x14ac:dyDescent="0.3">
      <c r="A697" t="s">
        <v>1197</v>
      </c>
      <c r="B697" s="40" t="s">
        <v>361</v>
      </c>
      <c r="D697" t="s">
        <v>1197</v>
      </c>
      <c r="E697" s="40" t="s">
        <v>361</v>
      </c>
    </row>
    <row r="698" spans="1:5" x14ac:dyDescent="0.3">
      <c r="A698" t="s">
        <v>1198</v>
      </c>
      <c r="B698" s="40">
        <v>5000</v>
      </c>
      <c r="D698" t="s">
        <v>1198</v>
      </c>
      <c r="E698" s="40">
        <v>5000</v>
      </c>
    </row>
    <row r="699" spans="1:5" x14ac:dyDescent="0.3">
      <c r="A699" t="s">
        <v>1199</v>
      </c>
      <c r="B699" s="40">
        <v>6200</v>
      </c>
      <c r="D699" t="s">
        <v>1199</v>
      </c>
      <c r="E699" s="40">
        <v>6200</v>
      </c>
    </row>
    <row r="700" spans="1:5" x14ac:dyDescent="0.3">
      <c r="A700" t="s">
        <v>1204</v>
      </c>
      <c r="B700" s="40" t="s">
        <v>231</v>
      </c>
      <c r="D700" t="s">
        <v>1204</v>
      </c>
      <c r="E700" s="40" t="s">
        <v>231</v>
      </c>
    </row>
    <row r="701" spans="1:5" x14ac:dyDescent="0.3">
      <c r="A701" t="s">
        <v>1205</v>
      </c>
      <c r="B701" s="40">
        <v>4000</v>
      </c>
      <c r="D701" t="s">
        <v>1205</v>
      </c>
      <c r="E701" s="40">
        <v>4000</v>
      </c>
    </row>
    <row r="702" spans="1:5" x14ac:dyDescent="0.3">
      <c r="A702" t="s">
        <v>1206</v>
      </c>
      <c r="B702" s="40">
        <v>5000</v>
      </c>
      <c r="D702" t="s">
        <v>1206</v>
      </c>
      <c r="E702" s="40">
        <v>5000</v>
      </c>
    </row>
    <row r="703" spans="1:5" x14ac:dyDescent="0.3">
      <c r="A703" t="s">
        <v>1207</v>
      </c>
      <c r="B703" s="40" t="s">
        <v>317</v>
      </c>
      <c r="D703" t="s">
        <v>1207</v>
      </c>
      <c r="E703" s="40" t="s">
        <v>317</v>
      </c>
    </row>
    <row r="704" spans="1:5" x14ac:dyDescent="0.3">
      <c r="A704" t="s">
        <v>1208</v>
      </c>
      <c r="B704" s="40">
        <v>3600</v>
      </c>
      <c r="D704" t="s">
        <v>1208</v>
      </c>
      <c r="E704" s="40">
        <v>3600</v>
      </c>
    </row>
    <row r="705" spans="1:5" x14ac:dyDescent="0.3">
      <c r="A705" t="s">
        <v>1209</v>
      </c>
      <c r="B705" s="40">
        <v>4300</v>
      </c>
      <c r="D705" t="s">
        <v>1209</v>
      </c>
      <c r="E705" s="40">
        <v>4300</v>
      </c>
    </row>
    <row r="706" spans="1:5" x14ac:dyDescent="0.3">
      <c r="A706" t="s">
        <v>1210</v>
      </c>
      <c r="B706" s="40">
        <v>4800</v>
      </c>
      <c r="D706" t="s">
        <v>1210</v>
      </c>
      <c r="E706" s="40">
        <v>4800</v>
      </c>
    </row>
    <row r="707" spans="1:5" x14ac:dyDescent="0.3">
      <c r="A707" t="s">
        <v>1213</v>
      </c>
      <c r="B707" s="40" t="s">
        <v>419</v>
      </c>
      <c r="D707" t="s">
        <v>1213</v>
      </c>
      <c r="E707" s="40" t="s">
        <v>419</v>
      </c>
    </row>
    <row r="708" spans="1:5" x14ac:dyDescent="0.3">
      <c r="A708" t="s">
        <v>1214</v>
      </c>
      <c r="B708" s="40">
        <v>8400</v>
      </c>
      <c r="D708" t="s">
        <v>1214</v>
      </c>
      <c r="E708" s="40">
        <v>8400</v>
      </c>
    </row>
    <row r="709" spans="1:5" x14ac:dyDescent="0.3">
      <c r="A709" t="s">
        <v>1215</v>
      </c>
      <c r="B709" s="40">
        <v>9000</v>
      </c>
      <c r="D709" t="s">
        <v>1215</v>
      </c>
      <c r="E709" s="40">
        <v>9000</v>
      </c>
    </row>
    <row r="710" spans="1:5" x14ac:dyDescent="0.3">
      <c r="A710" t="s">
        <v>1216</v>
      </c>
      <c r="B710" s="40">
        <v>9850</v>
      </c>
      <c r="D710" t="s">
        <v>1216</v>
      </c>
      <c r="E710" s="40">
        <v>9850</v>
      </c>
    </row>
    <row r="711" spans="1:5" x14ac:dyDescent="0.3">
      <c r="A711" t="s">
        <v>1217</v>
      </c>
      <c r="B711" s="40">
        <v>10400</v>
      </c>
      <c r="D711" t="s">
        <v>1217</v>
      </c>
      <c r="E711" s="40">
        <v>10400</v>
      </c>
    </row>
    <row r="712" spans="1:5" x14ac:dyDescent="0.3">
      <c r="A712" t="s">
        <v>1218</v>
      </c>
      <c r="B712" s="40">
        <v>11300</v>
      </c>
      <c r="D712" t="s">
        <v>1218</v>
      </c>
      <c r="E712" s="40">
        <v>11300</v>
      </c>
    </row>
    <row r="713" spans="1:5" x14ac:dyDescent="0.3">
      <c r="A713" t="s">
        <v>1219</v>
      </c>
      <c r="B713" s="40">
        <v>12550</v>
      </c>
      <c r="D713" t="s">
        <v>1219</v>
      </c>
      <c r="E713" s="40">
        <v>12550</v>
      </c>
    </row>
    <row r="714" spans="1:5" x14ac:dyDescent="0.3">
      <c r="A714" t="s">
        <v>1220</v>
      </c>
      <c r="B714" s="40">
        <v>13850</v>
      </c>
      <c r="D714" t="s">
        <v>1220</v>
      </c>
      <c r="E714" s="40">
        <v>13850</v>
      </c>
    </row>
    <row r="715" spans="1:5" x14ac:dyDescent="0.3">
      <c r="A715" t="s">
        <v>1221</v>
      </c>
      <c r="B715" s="40">
        <v>15250</v>
      </c>
      <c r="D715" t="s">
        <v>1221</v>
      </c>
      <c r="E715" s="40">
        <v>15250</v>
      </c>
    </row>
    <row r="716" spans="1:5" x14ac:dyDescent="0.3">
      <c r="A716" t="s">
        <v>1222</v>
      </c>
      <c r="B716" s="40">
        <v>14400</v>
      </c>
      <c r="D716" t="s">
        <v>1222</v>
      </c>
      <c r="E716" s="40">
        <v>14400</v>
      </c>
    </row>
    <row r="717" spans="1:5" x14ac:dyDescent="0.3">
      <c r="A717" t="s">
        <v>1223</v>
      </c>
      <c r="B717" s="40" t="s">
        <v>419</v>
      </c>
      <c r="D717" t="s">
        <v>1223</v>
      </c>
      <c r="E717" s="40" t="s">
        <v>419</v>
      </c>
    </row>
    <row r="718" spans="1:5" x14ac:dyDescent="0.3">
      <c r="A718" t="s">
        <v>1224</v>
      </c>
      <c r="B718" s="40">
        <v>10400</v>
      </c>
      <c r="D718" t="s">
        <v>1224</v>
      </c>
      <c r="E718" s="40">
        <v>10400</v>
      </c>
    </row>
    <row r="719" spans="1:5" x14ac:dyDescent="0.3">
      <c r="A719" t="s">
        <v>1225</v>
      </c>
      <c r="B719" s="40">
        <v>11000</v>
      </c>
      <c r="D719" t="s">
        <v>1225</v>
      </c>
      <c r="E719" s="40">
        <v>11000</v>
      </c>
    </row>
    <row r="720" spans="1:5" x14ac:dyDescent="0.3">
      <c r="A720" t="s">
        <v>1226</v>
      </c>
      <c r="B720" s="40">
        <v>11900</v>
      </c>
      <c r="D720" t="s">
        <v>1226</v>
      </c>
      <c r="E720" s="40">
        <v>11900</v>
      </c>
    </row>
    <row r="721" spans="1:5" x14ac:dyDescent="0.3">
      <c r="A721" t="s">
        <v>1227</v>
      </c>
      <c r="B721" s="40">
        <v>12400</v>
      </c>
      <c r="D721" t="s">
        <v>1227</v>
      </c>
      <c r="E721" s="40">
        <v>12400</v>
      </c>
    </row>
    <row r="722" spans="1:5" x14ac:dyDescent="0.3">
      <c r="A722" t="s">
        <v>1228</v>
      </c>
      <c r="B722" s="40">
        <v>13300</v>
      </c>
      <c r="D722" t="s">
        <v>1228</v>
      </c>
      <c r="E722" s="40">
        <v>13300</v>
      </c>
    </row>
    <row r="723" spans="1:5" x14ac:dyDescent="0.3">
      <c r="A723" t="s">
        <v>1229</v>
      </c>
      <c r="B723" s="40">
        <v>14600</v>
      </c>
      <c r="D723" t="s">
        <v>1229</v>
      </c>
      <c r="E723" s="40">
        <v>14600</v>
      </c>
    </row>
    <row r="724" spans="1:5" x14ac:dyDescent="0.3">
      <c r="A724" t="s">
        <v>1230</v>
      </c>
      <c r="B724" s="40">
        <v>15000</v>
      </c>
      <c r="D724" t="s">
        <v>1230</v>
      </c>
      <c r="E724" s="40">
        <v>15000</v>
      </c>
    </row>
    <row r="725" spans="1:5" x14ac:dyDescent="0.3">
      <c r="A725" t="s">
        <v>1231</v>
      </c>
      <c r="B725" s="40">
        <v>16500</v>
      </c>
      <c r="D725" t="s">
        <v>1231</v>
      </c>
      <c r="E725" s="40">
        <v>16500</v>
      </c>
    </row>
    <row r="726" spans="1:5" x14ac:dyDescent="0.3">
      <c r="A726" t="s">
        <v>1232</v>
      </c>
      <c r="B726" s="40">
        <v>15700</v>
      </c>
      <c r="D726" t="s">
        <v>1232</v>
      </c>
      <c r="E726" s="40">
        <v>15700</v>
      </c>
    </row>
    <row r="727" spans="1:5" x14ac:dyDescent="0.3">
      <c r="A727" t="s">
        <v>1241</v>
      </c>
      <c r="B727" s="40" t="s">
        <v>375</v>
      </c>
      <c r="D727" t="s">
        <v>1241</v>
      </c>
      <c r="E727" s="40" t="s">
        <v>375</v>
      </c>
    </row>
    <row r="728" spans="1:5" x14ac:dyDescent="0.3">
      <c r="A728" t="s">
        <v>1242</v>
      </c>
      <c r="B728" s="40">
        <v>3150</v>
      </c>
      <c r="D728" t="s">
        <v>1242</v>
      </c>
      <c r="E728" s="40">
        <v>3150</v>
      </c>
    </row>
    <row r="729" spans="1:5" x14ac:dyDescent="0.3">
      <c r="A729" t="s">
        <v>1243</v>
      </c>
      <c r="B729" s="40">
        <v>3600</v>
      </c>
      <c r="D729" t="s">
        <v>1243</v>
      </c>
      <c r="E729" s="40">
        <v>3600</v>
      </c>
    </row>
    <row r="730" spans="1:5" x14ac:dyDescent="0.3">
      <c r="A730" t="s">
        <v>1244</v>
      </c>
      <c r="B730" s="40">
        <v>4400</v>
      </c>
      <c r="D730" t="s">
        <v>1244</v>
      </c>
      <c r="E730" s="40">
        <v>4400</v>
      </c>
    </row>
    <row r="731" spans="1:5" x14ac:dyDescent="0.3">
      <c r="A731" t="s">
        <v>1245</v>
      </c>
      <c r="B731" s="40">
        <v>4000</v>
      </c>
      <c r="D731" t="s">
        <v>1245</v>
      </c>
      <c r="E731" s="40">
        <v>4000</v>
      </c>
    </row>
    <row r="732" spans="1:5" x14ac:dyDescent="0.3">
      <c r="A732" t="s">
        <v>1246</v>
      </c>
      <c r="B732" s="40">
        <v>4800</v>
      </c>
      <c r="D732" t="s">
        <v>1246</v>
      </c>
      <c r="E732" s="40">
        <v>4800</v>
      </c>
    </row>
    <row r="733" spans="1:5" x14ac:dyDescent="0.3">
      <c r="A733" t="s">
        <v>1247</v>
      </c>
      <c r="B733" s="40">
        <v>5400</v>
      </c>
      <c r="D733" t="s">
        <v>1247</v>
      </c>
      <c r="E733" s="40">
        <v>5400</v>
      </c>
    </row>
    <row r="734" spans="1:5" x14ac:dyDescent="0.3">
      <c r="A734" t="s">
        <v>1248</v>
      </c>
      <c r="B734" s="40">
        <v>4400</v>
      </c>
      <c r="D734" t="s">
        <v>1248</v>
      </c>
      <c r="E734" s="40">
        <v>4400</v>
      </c>
    </row>
    <row r="735" spans="1:5" x14ac:dyDescent="0.3">
      <c r="A735" t="s">
        <v>1249</v>
      </c>
      <c r="B735" s="40">
        <v>7000</v>
      </c>
      <c r="D735" t="s">
        <v>1249</v>
      </c>
      <c r="E735" s="40">
        <v>7000</v>
      </c>
    </row>
    <row r="736" spans="1:5" x14ac:dyDescent="0.3">
      <c r="A736" t="s">
        <v>1250</v>
      </c>
      <c r="B736" s="40">
        <v>5400</v>
      </c>
      <c r="D736" t="s">
        <v>1250</v>
      </c>
      <c r="E736" s="40">
        <v>5400</v>
      </c>
    </row>
    <row r="737" spans="1:5" x14ac:dyDescent="0.3">
      <c r="A737" t="s">
        <v>1252</v>
      </c>
      <c r="B737" s="40" t="s">
        <v>419</v>
      </c>
      <c r="D737" t="s">
        <v>1252</v>
      </c>
      <c r="E737" s="40" t="s">
        <v>419</v>
      </c>
    </row>
    <row r="738" spans="1:5" x14ac:dyDescent="0.3">
      <c r="A738" t="s">
        <v>1253</v>
      </c>
      <c r="B738" s="40">
        <v>5500</v>
      </c>
      <c r="D738" t="s">
        <v>1253</v>
      </c>
      <c r="E738" s="40">
        <v>5500</v>
      </c>
    </row>
    <row r="739" spans="1:5" x14ac:dyDescent="0.3">
      <c r="A739" t="s">
        <v>1254</v>
      </c>
      <c r="B739" s="40">
        <v>6000</v>
      </c>
      <c r="D739" t="s">
        <v>1254</v>
      </c>
      <c r="E739" s="40">
        <v>6000</v>
      </c>
    </row>
    <row r="740" spans="1:5" x14ac:dyDescent="0.3">
      <c r="A740" t="s">
        <v>1255</v>
      </c>
      <c r="B740" s="40">
        <v>6500</v>
      </c>
      <c r="D740" t="s">
        <v>1255</v>
      </c>
      <c r="E740" s="40">
        <v>6500</v>
      </c>
    </row>
    <row r="741" spans="1:5" x14ac:dyDescent="0.3">
      <c r="A741" t="s">
        <v>1256</v>
      </c>
      <c r="B741" s="40">
        <v>6000</v>
      </c>
      <c r="D741" t="s">
        <v>1256</v>
      </c>
      <c r="E741" s="40">
        <v>6000</v>
      </c>
    </row>
    <row r="742" spans="1:5" x14ac:dyDescent="0.3">
      <c r="A742" t="s">
        <v>1257</v>
      </c>
      <c r="B742" s="40">
        <v>6500</v>
      </c>
      <c r="D742" t="s">
        <v>1257</v>
      </c>
      <c r="E742" s="40">
        <v>6500</v>
      </c>
    </row>
    <row r="743" spans="1:5" x14ac:dyDescent="0.3">
      <c r="A743" t="s">
        <v>1258</v>
      </c>
      <c r="B743" s="40">
        <v>7000</v>
      </c>
      <c r="D743" t="s">
        <v>1258</v>
      </c>
      <c r="E743" s="40">
        <v>7000</v>
      </c>
    </row>
    <row r="744" spans="1:5" x14ac:dyDescent="0.3">
      <c r="A744" t="s">
        <v>1259</v>
      </c>
      <c r="B744" s="40">
        <v>6500</v>
      </c>
      <c r="D744" t="s">
        <v>1259</v>
      </c>
      <c r="E744" s="40">
        <v>6500</v>
      </c>
    </row>
    <row r="745" spans="1:5" x14ac:dyDescent="0.3">
      <c r="A745" t="s">
        <v>1260</v>
      </c>
      <c r="B745" s="40">
        <v>8000</v>
      </c>
      <c r="D745" t="s">
        <v>1260</v>
      </c>
      <c r="E745" s="40">
        <v>8000</v>
      </c>
    </row>
    <row r="746" spans="1:5" x14ac:dyDescent="0.3">
      <c r="A746" t="s">
        <v>1261</v>
      </c>
      <c r="B746" s="40">
        <v>7500</v>
      </c>
      <c r="D746" t="s">
        <v>1261</v>
      </c>
      <c r="E746" s="40">
        <v>7500</v>
      </c>
    </row>
    <row r="747" spans="1:5" x14ac:dyDescent="0.3">
      <c r="A747" t="s">
        <v>1263</v>
      </c>
      <c r="B747" s="40" t="s">
        <v>236</v>
      </c>
      <c r="D747" t="s">
        <v>1263</v>
      </c>
      <c r="E747" s="40" t="s">
        <v>236</v>
      </c>
    </row>
    <row r="748" spans="1:5" x14ac:dyDescent="0.3">
      <c r="A748" t="s">
        <v>1264</v>
      </c>
      <c r="B748" s="40">
        <v>7200</v>
      </c>
      <c r="D748" t="s">
        <v>1264</v>
      </c>
      <c r="E748" s="40">
        <v>7200</v>
      </c>
    </row>
    <row r="749" spans="1:5" x14ac:dyDescent="0.3">
      <c r="A749" t="s">
        <v>1268</v>
      </c>
      <c r="B749" s="40" t="s">
        <v>433</v>
      </c>
      <c r="D749" t="s">
        <v>1268</v>
      </c>
      <c r="E749" s="40" t="s">
        <v>433</v>
      </c>
    </row>
    <row r="750" spans="1:5" x14ac:dyDescent="0.3">
      <c r="A750" t="s">
        <v>1269</v>
      </c>
      <c r="B750" s="40">
        <v>2200</v>
      </c>
      <c r="D750" t="s">
        <v>1269</v>
      </c>
      <c r="E750" s="40">
        <v>2200</v>
      </c>
    </row>
    <row r="751" spans="1:5" x14ac:dyDescent="0.3">
      <c r="A751" t="s">
        <v>1270</v>
      </c>
      <c r="B751" s="40">
        <v>3400</v>
      </c>
      <c r="D751" t="s">
        <v>1270</v>
      </c>
      <c r="E751" s="40">
        <v>3400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5045-A15B-44E4-9630-92199334A16D}">
  <dimension ref="A1:V32"/>
  <sheetViews>
    <sheetView showGridLines="0" workbookViewId="0">
      <selection activeCell="A10" sqref="A10:C32"/>
    </sheetView>
  </sheetViews>
  <sheetFormatPr defaultRowHeight="14.4" x14ac:dyDescent="0.3"/>
  <cols>
    <col min="1" max="1" width="7.88671875" bestFit="1" customWidth="1"/>
    <col min="2" max="2" width="35.33203125" style="56" customWidth="1"/>
    <col min="3" max="3" width="143.109375" style="56" customWidth="1"/>
  </cols>
  <sheetData>
    <row r="1" spans="1:22" x14ac:dyDescent="0.3">
      <c r="A1" s="21" t="s">
        <v>87</v>
      </c>
      <c r="B1" s="44" t="s">
        <v>88</v>
      </c>
      <c r="C1" s="44" t="s">
        <v>76</v>
      </c>
    </row>
    <row r="2" spans="1:22" x14ac:dyDescent="0.3">
      <c r="A2" s="58" t="str">
        <f>IF(B2="","", "Day " &amp; ROW(A2)-1)</f>
        <v/>
      </c>
      <c r="B2" s="57"/>
      <c r="C2" s="44"/>
    </row>
    <row r="3" spans="1:22" s="54" customFormat="1" x14ac:dyDescent="0.3">
      <c r="A3" s="58" t="str">
        <f t="shared" ref="A3:A32" si="0">IF(B3="","", "Day " &amp; ROW(A3)-1)</f>
        <v/>
      </c>
      <c r="B3" s="57"/>
      <c r="C3" s="44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22" x14ac:dyDescent="0.3">
      <c r="A4" s="58" t="str">
        <f t="shared" si="0"/>
        <v/>
      </c>
      <c r="B4" s="57"/>
      <c r="C4" s="44"/>
    </row>
    <row r="5" spans="1:22" x14ac:dyDescent="0.3">
      <c r="A5" s="58" t="str">
        <f t="shared" si="0"/>
        <v/>
      </c>
      <c r="B5" s="57"/>
      <c r="C5" s="44"/>
    </row>
    <row r="6" spans="1:22" x14ac:dyDescent="0.3">
      <c r="A6" s="58" t="str">
        <f t="shared" si="0"/>
        <v/>
      </c>
      <c r="B6" s="57"/>
      <c r="C6" s="44"/>
    </row>
    <row r="7" spans="1:22" x14ac:dyDescent="0.3">
      <c r="A7" s="58" t="str">
        <f t="shared" si="0"/>
        <v/>
      </c>
      <c r="B7" s="57"/>
      <c r="C7" s="44"/>
    </row>
    <row r="8" spans="1:22" x14ac:dyDescent="0.3">
      <c r="A8" s="58" t="str">
        <f t="shared" si="0"/>
        <v/>
      </c>
      <c r="B8" s="57"/>
      <c r="C8" s="44"/>
    </row>
    <row r="9" spans="1:22" x14ac:dyDescent="0.3">
      <c r="A9" s="58" t="str">
        <f t="shared" si="0"/>
        <v/>
      </c>
      <c r="B9" s="57"/>
      <c r="C9" s="44"/>
    </row>
    <row r="10" spans="1:22" x14ac:dyDescent="0.3">
      <c r="A10" s="58" t="str">
        <f t="shared" si="0"/>
        <v/>
      </c>
      <c r="B10" s="57"/>
      <c r="C10" s="44"/>
    </row>
    <row r="11" spans="1:22" x14ac:dyDescent="0.3">
      <c r="A11" s="21" t="str">
        <f>IF(B11="","", "Day " &amp; ROW(A11)-1)</f>
        <v/>
      </c>
      <c r="B11" s="57"/>
      <c r="C11" s="44"/>
    </row>
    <row r="12" spans="1:22" x14ac:dyDescent="0.3">
      <c r="A12" s="21" t="str">
        <f t="shared" si="0"/>
        <v/>
      </c>
      <c r="B12" s="57"/>
      <c r="C12" s="44"/>
    </row>
    <row r="13" spans="1:22" x14ac:dyDescent="0.3">
      <c r="A13" s="21" t="str">
        <f t="shared" si="0"/>
        <v/>
      </c>
      <c r="B13" s="57"/>
      <c r="C13" s="44"/>
    </row>
    <row r="14" spans="1:22" x14ac:dyDescent="0.3">
      <c r="A14" s="21" t="str">
        <f t="shared" si="0"/>
        <v/>
      </c>
      <c r="B14" s="57"/>
      <c r="C14" s="44"/>
    </row>
    <row r="15" spans="1:22" x14ac:dyDescent="0.3">
      <c r="A15" s="21" t="str">
        <f t="shared" si="0"/>
        <v/>
      </c>
      <c r="B15" s="57"/>
      <c r="C15" s="44"/>
    </row>
    <row r="16" spans="1:22" x14ac:dyDescent="0.3">
      <c r="A16" s="21" t="str">
        <f t="shared" si="0"/>
        <v/>
      </c>
      <c r="B16" s="57"/>
      <c r="C16" s="44"/>
    </row>
    <row r="17" spans="1:3" x14ac:dyDescent="0.3">
      <c r="A17" s="21" t="str">
        <f t="shared" si="0"/>
        <v/>
      </c>
      <c r="B17" s="57"/>
      <c r="C17" s="44"/>
    </row>
    <row r="18" spans="1:3" x14ac:dyDescent="0.3">
      <c r="A18" s="21" t="str">
        <f t="shared" si="0"/>
        <v/>
      </c>
      <c r="B18" s="57"/>
      <c r="C18" s="44"/>
    </row>
    <row r="19" spans="1:3" x14ac:dyDescent="0.3">
      <c r="A19" s="21" t="str">
        <f>IF(B19="","", "Day " &amp; ROW(A19)-1)</f>
        <v/>
      </c>
      <c r="B19" s="57"/>
      <c r="C19" s="44"/>
    </row>
    <row r="20" spans="1:3" x14ac:dyDescent="0.3">
      <c r="A20" s="21" t="str">
        <f t="shared" si="0"/>
        <v/>
      </c>
      <c r="B20" s="57"/>
      <c r="C20" s="44"/>
    </row>
    <row r="21" spans="1:3" x14ac:dyDescent="0.3">
      <c r="A21" s="21" t="str">
        <f t="shared" si="0"/>
        <v/>
      </c>
      <c r="B21" s="57"/>
      <c r="C21" s="44"/>
    </row>
    <row r="22" spans="1:3" x14ac:dyDescent="0.3">
      <c r="A22" s="21" t="str">
        <f t="shared" si="0"/>
        <v/>
      </c>
      <c r="B22" s="57"/>
      <c r="C22" s="44"/>
    </row>
    <row r="23" spans="1:3" x14ac:dyDescent="0.3">
      <c r="A23" s="21" t="str">
        <f t="shared" si="0"/>
        <v/>
      </c>
      <c r="B23" s="57"/>
      <c r="C23" s="44"/>
    </row>
    <row r="24" spans="1:3" x14ac:dyDescent="0.3">
      <c r="A24" s="21" t="str">
        <f t="shared" si="0"/>
        <v/>
      </c>
      <c r="B24" s="57"/>
      <c r="C24" s="44"/>
    </row>
    <row r="25" spans="1:3" x14ac:dyDescent="0.3">
      <c r="A25" s="21" t="str">
        <f t="shared" si="0"/>
        <v/>
      </c>
      <c r="B25" s="57"/>
      <c r="C25" s="44"/>
    </row>
    <row r="26" spans="1:3" x14ac:dyDescent="0.3">
      <c r="A26" s="21" t="str">
        <f t="shared" si="0"/>
        <v/>
      </c>
      <c r="B26" s="57"/>
      <c r="C26" s="44"/>
    </row>
    <row r="27" spans="1:3" x14ac:dyDescent="0.3">
      <c r="A27" s="21" t="str">
        <f t="shared" si="0"/>
        <v/>
      </c>
      <c r="B27" s="57"/>
      <c r="C27" s="44"/>
    </row>
    <row r="28" spans="1:3" x14ac:dyDescent="0.3">
      <c r="A28" s="21" t="str">
        <f>IF(B28="","", "Day " &amp; ROW(A28)-1)</f>
        <v/>
      </c>
      <c r="B28" s="57"/>
      <c r="C28" s="44"/>
    </row>
    <row r="29" spans="1:3" x14ac:dyDescent="0.3">
      <c r="A29" s="21" t="str">
        <f t="shared" si="0"/>
        <v/>
      </c>
      <c r="B29" s="57"/>
      <c r="C29" s="44"/>
    </row>
    <row r="30" spans="1:3" x14ac:dyDescent="0.3">
      <c r="A30" s="21" t="str">
        <f t="shared" si="0"/>
        <v/>
      </c>
      <c r="B30" s="57"/>
      <c r="C30" s="44"/>
    </row>
    <row r="31" spans="1:3" x14ac:dyDescent="0.3">
      <c r="A31" s="21" t="str">
        <f t="shared" si="0"/>
        <v/>
      </c>
      <c r="B31" s="57"/>
      <c r="C31" s="44"/>
    </row>
    <row r="32" spans="1:3" x14ac:dyDescent="0.3">
      <c r="A32" s="21" t="str">
        <f t="shared" si="0"/>
        <v/>
      </c>
      <c r="B32" s="57"/>
      <c r="C32" s="44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8872-6BBE-4C5C-9F79-2ED31068CC9C}">
  <dimension ref="A1:Z42"/>
  <sheetViews>
    <sheetView topLeftCell="A30" workbookViewId="0">
      <selection activeCell="S34" sqref="S34"/>
    </sheetView>
  </sheetViews>
  <sheetFormatPr defaultColWidth="12.88671875" defaultRowHeight="14.4" x14ac:dyDescent="0.3"/>
  <cols>
    <col min="1" max="1" width="12.88671875" style="71"/>
    <col min="2" max="2" width="12.109375" style="71" customWidth="1"/>
    <col min="3" max="7" width="12.88671875" style="71"/>
    <col min="8" max="8" width="16" style="71" customWidth="1"/>
    <col min="9" max="13" width="12.88671875" style="71"/>
    <col min="14" max="14" width="16" style="71" customWidth="1"/>
    <col min="15" max="16" width="12.88671875" style="71"/>
    <col min="17" max="17" width="16.6640625" style="71" customWidth="1"/>
    <col min="18" max="18" width="12.88671875" style="71"/>
    <col min="19" max="19" width="14.33203125" style="71" customWidth="1"/>
    <col min="20" max="20" width="16.44140625" style="71" customWidth="1"/>
    <col min="21" max="16384" width="12.88671875" style="71"/>
  </cols>
  <sheetData>
    <row r="1" spans="1:26" x14ac:dyDescent="0.3">
      <c r="A1" s="75" t="s">
        <v>441</v>
      </c>
      <c r="B1" s="76" t="s">
        <v>763</v>
      </c>
      <c r="C1" s="77" t="s">
        <v>797</v>
      </c>
      <c r="D1" s="75" t="s">
        <v>761</v>
      </c>
      <c r="E1" s="76" t="s">
        <v>927</v>
      </c>
      <c r="F1" s="77" t="s">
        <v>936</v>
      </c>
      <c r="G1" s="75" t="s">
        <v>107</v>
      </c>
      <c r="H1" s="76" t="s">
        <v>935</v>
      </c>
      <c r="I1" s="77" t="s">
        <v>928</v>
      </c>
      <c r="J1" s="75" t="s">
        <v>173</v>
      </c>
      <c r="K1" s="76" t="s">
        <v>929</v>
      </c>
      <c r="L1" s="77" t="s">
        <v>949</v>
      </c>
      <c r="M1" s="75" t="s">
        <v>170</v>
      </c>
      <c r="N1" s="76" t="s">
        <v>940</v>
      </c>
      <c r="O1" s="77" t="s">
        <v>941</v>
      </c>
      <c r="P1" s="75" t="s">
        <v>153</v>
      </c>
      <c r="Q1" s="76" t="s">
        <v>930</v>
      </c>
      <c r="R1" s="77" t="s">
        <v>931</v>
      </c>
      <c r="S1" s="75" t="s">
        <v>762</v>
      </c>
      <c r="T1" s="76" t="s">
        <v>932</v>
      </c>
      <c r="U1" s="77" t="s">
        <v>933</v>
      </c>
      <c r="V1" s="75" t="s">
        <v>179</v>
      </c>
      <c r="W1" s="76" t="s">
        <v>934</v>
      </c>
      <c r="X1" s="77" t="s">
        <v>948</v>
      </c>
      <c r="Y1" s="82" t="s">
        <v>1234</v>
      </c>
      <c r="Z1" s="82" t="s">
        <v>1236</v>
      </c>
    </row>
    <row r="2" spans="1:26" ht="57.6" x14ac:dyDescent="0.3">
      <c r="A2" s="43" t="s">
        <v>764</v>
      </c>
      <c r="B2" s="72" t="s">
        <v>765</v>
      </c>
      <c r="D2" s="71" t="s">
        <v>127</v>
      </c>
      <c r="E2" s="71" t="s">
        <v>798</v>
      </c>
      <c r="F2" s="71" t="s">
        <v>1161</v>
      </c>
      <c r="G2" s="71" t="s">
        <v>162</v>
      </c>
      <c r="H2" s="71" t="s">
        <v>811</v>
      </c>
      <c r="J2" s="71" t="s">
        <v>831</v>
      </c>
      <c r="K2" s="71" t="s">
        <v>832</v>
      </c>
      <c r="M2" s="71" t="s">
        <v>717</v>
      </c>
      <c r="N2" s="71" t="s">
        <v>942</v>
      </c>
      <c r="P2" s="71" t="s">
        <v>760</v>
      </c>
      <c r="Q2" s="71">
        <v>7701818848</v>
      </c>
      <c r="S2" s="71" t="s">
        <v>855</v>
      </c>
      <c r="T2" s="71" t="s">
        <v>856</v>
      </c>
      <c r="V2" s="71" t="s">
        <v>842</v>
      </c>
      <c r="Y2" s="71" t="s">
        <v>1233</v>
      </c>
      <c r="Z2" s="71" t="s">
        <v>1235</v>
      </c>
    </row>
    <row r="3" spans="1:26" ht="57.6" x14ac:dyDescent="0.3">
      <c r="A3" s="43" t="s">
        <v>766</v>
      </c>
      <c r="B3" s="72">
        <v>8979873775</v>
      </c>
      <c r="D3" s="71" t="s">
        <v>126</v>
      </c>
      <c r="E3" s="71" t="s">
        <v>799</v>
      </c>
      <c r="G3" s="71" t="s">
        <v>812</v>
      </c>
      <c r="H3" s="71" t="s">
        <v>813</v>
      </c>
      <c r="J3" s="71" t="s">
        <v>497</v>
      </c>
      <c r="K3" s="71" t="s">
        <v>833</v>
      </c>
      <c r="M3" s="71" t="s">
        <v>943</v>
      </c>
      <c r="N3" s="71" t="s">
        <v>944</v>
      </c>
      <c r="P3" s="71" t="s">
        <v>154</v>
      </c>
      <c r="Q3" s="71" t="s">
        <v>839</v>
      </c>
      <c r="S3" s="71" t="s">
        <v>857</v>
      </c>
      <c r="T3" s="71" t="s">
        <v>858</v>
      </c>
      <c r="V3" s="71" t="s">
        <v>183</v>
      </c>
      <c r="W3" s="71" t="s">
        <v>996</v>
      </c>
      <c r="Y3" s="71" t="s">
        <v>1237</v>
      </c>
      <c r="Z3" s="71" t="s">
        <v>1238</v>
      </c>
    </row>
    <row r="4" spans="1:26" ht="43.2" x14ac:dyDescent="0.3">
      <c r="A4" s="43" t="s">
        <v>767</v>
      </c>
      <c r="B4" s="72" t="s">
        <v>768</v>
      </c>
      <c r="D4" s="71" t="s">
        <v>800</v>
      </c>
      <c r="E4" s="71" t="s">
        <v>801</v>
      </c>
      <c r="G4" s="71" t="s">
        <v>164</v>
      </c>
      <c r="H4" s="71" t="s">
        <v>814</v>
      </c>
      <c r="J4" s="71" t="s">
        <v>175</v>
      </c>
      <c r="K4" s="71" t="s">
        <v>834</v>
      </c>
      <c r="M4" s="71" t="s">
        <v>172</v>
      </c>
      <c r="N4" s="71" t="s">
        <v>1239</v>
      </c>
      <c r="P4" s="71" t="s">
        <v>156</v>
      </c>
      <c r="Q4" s="71" t="s">
        <v>840</v>
      </c>
      <c r="S4" s="71" t="s">
        <v>859</v>
      </c>
      <c r="T4" s="71" t="s">
        <v>860</v>
      </c>
      <c r="V4" s="71" t="s">
        <v>843</v>
      </c>
    </row>
    <row r="5" spans="1:26" ht="43.2" x14ac:dyDescent="0.3">
      <c r="A5" s="43" t="s">
        <v>466</v>
      </c>
      <c r="B5" s="72" t="s">
        <v>769</v>
      </c>
      <c r="D5" s="71" t="s">
        <v>802</v>
      </c>
      <c r="E5" s="71" t="s">
        <v>803</v>
      </c>
      <c r="G5" s="71" t="s">
        <v>165</v>
      </c>
      <c r="H5" s="71" t="s">
        <v>815</v>
      </c>
      <c r="J5" s="71" t="s">
        <v>835</v>
      </c>
      <c r="K5" s="71" t="s">
        <v>836</v>
      </c>
      <c r="M5" s="71" t="s">
        <v>712</v>
      </c>
      <c r="N5" s="71" t="s">
        <v>945</v>
      </c>
      <c r="P5" s="71" t="s">
        <v>1201</v>
      </c>
      <c r="Q5" s="71" t="s">
        <v>1202</v>
      </c>
      <c r="S5" s="71" t="s">
        <v>861</v>
      </c>
      <c r="T5" s="71" t="s">
        <v>862</v>
      </c>
      <c r="V5" s="71" t="s">
        <v>844</v>
      </c>
    </row>
    <row r="6" spans="1:26" ht="57.6" x14ac:dyDescent="0.3">
      <c r="A6" s="43" t="s">
        <v>770</v>
      </c>
      <c r="B6" s="72" t="s">
        <v>771</v>
      </c>
      <c r="D6" s="71" t="s">
        <v>128</v>
      </c>
      <c r="E6" s="71" t="s">
        <v>804</v>
      </c>
      <c r="G6" s="71" t="s">
        <v>166</v>
      </c>
      <c r="H6" s="71" t="s">
        <v>816</v>
      </c>
      <c r="J6" s="71" t="s">
        <v>177</v>
      </c>
      <c r="K6" s="71" t="s">
        <v>837</v>
      </c>
      <c r="M6" s="71" t="s">
        <v>673</v>
      </c>
      <c r="N6" s="71" t="s">
        <v>947</v>
      </c>
      <c r="S6" s="71" t="s">
        <v>576</v>
      </c>
      <c r="T6" s="71" t="s">
        <v>863</v>
      </c>
      <c r="V6" s="71" t="s">
        <v>845</v>
      </c>
    </row>
    <row r="7" spans="1:26" ht="43.2" x14ac:dyDescent="0.3">
      <c r="A7" s="43" t="s">
        <v>772</v>
      </c>
      <c r="B7" s="72" t="s">
        <v>773</v>
      </c>
      <c r="D7" s="71" t="s">
        <v>805</v>
      </c>
      <c r="E7" s="71" t="s">
        <v>806</v>
      </c>
      <c r="G7" s="71" t="s">
        <v>167</v>
      </c>
      <c r="H7" s="71" t="s">
        <v>817</v>
      </c>
      <c r="J7" s="71" t="s">
        <v>499</v>
      </c>
      <c r="K7" s="71" t="s">
        <v>838</v>
      </c>
      <c r="S7" s="71" t="s">
        <v>864</v>
      </c>
      <c r="T7" s="71" t="s">
        <v>865</v>
      </c>
      <c r="V7" s="71" t="s">
        <v>846</v>
      </c>
    </row>
    <row r="8" spans="1:26" ht="86.4" x14ac:dyDescent="0.3">
      <c r="A8" s="43" t="s">
        <v>774</v>
      </c>
      <c r="B8" s="72">
        <v>9582060044</v>
      </c>
      <c r="D8" s="71" t="s">
        <v>464</v>
      </c>
      <c r="E8" s="71" t="s">
        <v>807</v>
      </c>
      <c r="G8" s="71" t="s">
        <v>818</v>
      </c>
      <c r="H8" s="71" t="s">
        <v>819</v>
      </c>
      <c r="J8" s="71" t="s">
        <v>939</v>
      </c>
      <c r="K8" s="71">
        <v>9760328706</v>
      </c>
      <c r="S8" s="71" t="s">
        <v>866</v>
      </c>
      <c r="T8" s="71" t="s">
        <v>867</v>
      </c>
      <c r="V8" s="71" t="s">
        <v>847</v>
      </c>
      <c r="W8" s="71" t="s">
        <v>848</v>
      </c>
    </row>
    <row r="9" spans="1:26" ht="43.2" x14ac:dyDescent="0.3">
      <c r="A9" s="43" t="s">
        <v>775</v>
      </c>
      <c r="B9" s="72" t="s">
        <v>776</v>
      </c>
      <c r="D9" s="71" t="s">
        <v>463</v>
      </c>
      <c r="E9" s="71" t="s">
        <v>808</v>
      </c>
      <c r="G9" s="71" t="s">
        <v>820</v>
      </c>
      <c r="H9" s="71" t="s">
        <v>821</v>
      </c>
      <c r="J9" s="71" t="s">
        <v>674</v>
      </c>
      <c r="K9" s="71" t="s">
        <v>946</v>
      </c>
      <c r="S9" s="71" t="s">
        <v>868</v>
      </c>
      <c r="T9" s="71" t="s">
        <v>852</v>
      </c>
      <c r="V9" s="71" t="s">
        <v>849</v>
      </c>
    </row>
    <row r="10" spans="1:26" ht="72" x14ac:dyDescent="0.3">
      <c r="A10" s="43" t="s">
        <v>777</v>
      </c>
      <c r="B10" s="72">
        <v>7718271009</v>
      </c>
      <c r="D10" s="71" t="s">
        <v>809</v>
      </c>
      <c r="E10" s="71" t="s">
        <v>841</v>
      </c>
      <c r="G10" s="71" t="s">
        <v>649</v>
      </c>
      <c r="H10" s="71" t="s">
        <v>822</v>
      </c>
      <c r="S10" s="71" t="s">
        <v>869</v>
      </c>
      <c r="T10" s="71" t="s">
        <v>870</v>
      </c>
      <c r="V10" s="71" t="s">
        <v>850</v>
      </c>
      <c r="W10" s="71" t="s">
        <v>851</v>
      </c>
    </row>
    <row r="11" spans="1:26" ht="43.2" x14ac:dyDescent="0.3">
      <c r="A11" s="43" t="s">
        <v>778</v>
      </c>
      <c r="B11" s="72" t="s">
        <v>779</v>
      </c>
      <c r="D11" s="71" t="s">
        <v>108</v>
      </c>
      <c r="E11" s="71" t="s">
        <v>810</v>
      </c>
      <c r="G11" s="71" t="s">
        <v>823</v>
      </c>
      <c r="H11" s="71" t="s">
        <v>824</v>
      </c>
      <c r="S11" s="71" t="s">
        <v>871</v>
      </c>
      <c r="T11" s="71" t="s">
        <v>872</v>
      </c>
      <c r="V11" s="71" t="s">
        <v>190</v>
      </c>
      <c r="W11" s="71" t="s">
        <v>852</v>
      </c>
    </row>
    <row r="12" spans="1:26" ht="28.8" x14ac:dyDescent="0.3">
      <c r="A12" s="43" t="s">
        <v>780</v>
      </c>
      <c r="B12" s="72" t="s">
        <v>781</v>
      </c>
      <c r="G12" s="71" t="s">
        <v>825</v>
      </c>
      <c r="H12" s="71" t="s">
        <v>826</v>
      </c>
      <c r="S12" s="71" t="s">
        <v>873</v>
      </c>
      <c r="T12" s="71" t="s">
        <v>874</v>
      </c>
      <c r="V12" s="71" t="s">
        <v>853</v>
      </c>
      <c r="W12" s="71" t="s">
        <v>854</v>
      </c>
    </row>
    <row r="13" spans="1:26" ht="28.8" x14ac:dyDescent="0.3">
      <c r="A13" s="43" t="s">
        <v>782</v>
      </c>
      <c r="B13" s="72" t="s">
        <v>783</v>
      </c>
      <c r="G13" s="71" t="s">
        <v>827</v>
      </c>
      <c r="H13" s="71" t="s">
        <v>828</v>
      </c>
      <c r="S13" s="71" t="s">
        <v>875</v>
      </c>
      <c r="T13" s="71" t="s">
        <v>876</v>
      </c>
      <c r="V13" s="71" t="s">
        <v>1195</v>
      </c>
      <c r="W13" s="71" t="s">
        <v>1196</v>
      </c>
    </row>
    <row r="14" spans="1:26" ht="43.2" x14ac:dyDescent="0.3">
      <c r="A14" s="43" t="s">
        <v>784</v>
      </c>
      <c r="B14" s="72" t="s">
        <v>785</v>
      </c>
      <c r="G14" s="71" t="s">
        <v>829</v>
      </c>
      <c r="H14" s="71" t="s">
        <v>830</v>
      </c>
      <c r="S14" s="71" t="s">
        <v>877</v>
      </c>
      <c r="T14" s="71" t="s">
        <v>878</v>
      </c>
    </row>
    <row r="15" spans="1:26" ht="43.2" x14ac:dyDescent="0.3">
      <c r="A15" s="43" t="s">
        <v>786</v>
      </c>
      <c r="B15" s="72" t="s">
        <v>787</v>
      </c>
      <c r="S15" s="71" t="s">
        <v>879</v>
      </c>
      <c r="T15" s="71" t="s">
        <v>880</v>
      </c>
    </row>
    <row r="16" spans="1:26" ht="43.2" x14ac:dyDescent="0.3">
      <c r="A16" s="43" t="s">
        <v>788</v>
      </c>
      <c r="B16" s="72" t="s">
        <v>789</v>
      </c>
      <c r="S16" s="71" t="s">
        <v>881</v>
      </c>
      <c r="T16" s="71" t="s">
        <v>882</v>
      </c>
    </row>
    <row r="17" spans="1:20" ht="28.8" x14ac:dyDescent="0.3">
      <c r="A17" s="43" t="s">
        <v>103</v>
      </c>
      <c r="B17" s="72" t="s">
        <v>790</v>
      </c>
      <c r="S17" s="71" t="s">
        <v>883</v>
      </c>
      <c r="T17" s="71" t="s">
        <v>884</v>
      </c>
    </row>
    <row r="18" spans="1:20" ht="43.2" x14ac:dyDescent="0.3">
      <c r="A18" s="43" t="s">
        <v>791</v>
      </c>
      <c r="B18" s="72" t="s">
        <v>792</v>
      </c>
      <c r="S18" s="71" t="s">
        <v>885</v>
      </c>
      <c r="T18" s="71" t="s">
        <v>886</v>
      </c>
    </row>
    <row r="19" spans="1:20" ht="57.6" x14ac:dyDescent="0.3">
      <c r="A19" s="43" t="s">
        <v>793</v>
      </c>
      <c r="B19" s="72" t="s">
        <v>794</v>
      </c>
      <c r="S19" s="71" t="s">
        <v>887</v>
      </c>
      <c r="T19" s="71" t="s">
        <v>888</v>
      </c>
    </row>
    <row r="20" spans="1:20" ht="57.6" x14ac:dyDescent="0.3">
      <c r="A20" s="43" t="s">
        <v>795</v>
      </c>
      <c r="B20" s="72" t="s">
        <v>796</v>
      </c>
      <c r="S20" s="71" t="s">
        <v>889</v>
      </c>
      <c r="T20" s="71" t="s">
        <v>890</v>
      </c>
    </row>
    <row r="21" spans="1:20" ht="28.8" x14ac:dyDescent="0.3">
      <c r="A21" s="71" t="s">
        <v>938</v>
      </c>
      <c r="B21" s="71">
        <v>7037736310</v>
      </c>
      <c r="S21" s="71" t="s">
        <v>188</v>
      </c>
      <c r="T21" s="71" t="s">
        <v>891</v>
      </c>
    </row>
    <row r="22" spans="1:20" x14ac:dyDescent="0.3">
      <c r="S22" s="71" t="s">
        <v>892</v>
      </c>
      <c r="T22" s="71" t="s">
        <v>893</v>
      </c>
    </row>
    <row r="23" spans="1:20" x14ac:dyDescent="0.3">
      <c r="S23" s="71" t="s">
        <v>894</v>
      </c>
      <c r="T23" s="71" t="s">
        <v>895</v>
      </c>
    </row>
    <row r="24" spans="1:20" ht="28.8" x14ac:dyDescent="0.3">
      <c r="S24" s="71" t="s">
        <v>896</v>
      </c>
      <c r="T24" s="71">
        <v>7668598928</v>
      </c>
    </row>
    <row r="25" spans="1:20" ht="43.2" x14ac:dyDescent="0.3">
      <c r="S25" s="71" t="s">
        <v>897</v>
      </c>
      <c r="T25" s="71" t="s">
        <v>898</v>
      </c>
    </row>
    <row r="26" spans="1:20" ht="100.8" x14ac:dyDescent="0.3">
      <c r="S26" s="71" t="s">
        <v>899</v>
      </c>
      <c r="T26" s="71" t="s">
        <v>900</v>
      </c>
    </row>
    <row r="27" spans="1:20" ht="28.8" x14ac:dyDescent="0.3">
      <c r="S27" s="71" t="s">
        <v>901</v>
      </c>
      <c r="T27" s="71" t="s">
        <v>902</v>
      </c>
    </row>
    <row r="28" spans="1:20" ht="43.2" x14ac:dyDescent="0.3">
      <c r="S28" s="71" t="s">
        <v>903</v>
      </c>
      <c r="T28" s="71" t="s">
        <v>904</v>
      </c>
    </row>
    <row r="29" spans="1:20" ht="28.8" x14ac:dyDescent="0.3">
      <c r="S29" s="71" t="s">
        <v>905</v>
      </c>
      <c r="T29" s="71" t="s">
        <v>906</v>
      </c>
    </row>
    <row r="30" spans="1:20" ht="28.8" x14ac:dyDescent="0.3">
      <c r="S30" s="71" t="s">
        <v>907</v>
      </c>
      <c r="T30" s="71" t="s">
        <v>908</v>
      </c>
    </row>
    <row r="31" spans="1:20" ht="28.8" x14ac:dyDescent="0.3">
      <c r="S31" s="71" t="s">
        <v>909</v>
      </c>
      <c r="T31" s="71" t="s">
        <v>910</v>
      </c>
    </row>
    <row r="32" spans="1:20" ht="28.8" x14ac:dyDescent="0.3">
      <c r="S32" s="71" t="s">
        <v>911</v>
      </c>
      <c r="T32" s="71" t="s">
        <v>912</v>
      </c>
    </row>
    <row r="33" spans="19:20" ht="43.2" x14ac:dyDescent="0.3">
      <c r="S33" s="71" t="s">
        <v>913</v>
      </c>
      <c r="T33" s="71" t="s">
        <v>914</v>
      </c>
    </row>
    <row r="34" spans="19:20" ht="43.2" x14ac:dyDescent="0.3">
      <c r="S34" s="71" t="s">
        <v>915</v>
      </c>
      <c r="T34" s="71" t="s">
        <v>916</v>
      </c>
    </row>
    <row r="35" spans="19:20" ht="43.2" x14ac:dyDescent="0.3">
      <c r="S35" s="71" t="s">
        <v>917</v>
      </c>
      <c r="T35" s="71" t="s">
        <v>918</v>
      </c>
    </row>
    <row r="36" spans="19:20" ht="43.2" x14ac:dyDescent="0.3">
      <c r="S36" s="71" t="s">
        <v>919</v>
      </c>
      <c r="T36" s="71" t="s">
        <v>920</v>
      </c>
    </row>
    <row r="37" spans="19:20" ht="43.2" x14ac:dyDescent="0.3">
      <c r="S37" s="71" t="s">
        <v>921</v>
      </c>
      <c r="T37" s="71" t="s">
        <v>922</v>
      </c>
    </row>
    <row r="38" spans="19:20" ht="43.2" x14ac:dyDescent="0.3">
      <c r="S38" s="71" t="s">
        <v>923</v>
      </c>
      <c r="T38" s="71" t="s">
        <v>924</v>
      </c>
    </row>
    <row r="39" spans="19:20" ht="43.2" x14ac:dyDescent="0.3">
      <c r="S39" s="71" t="s">
        <v>925</v>
      </c>
      <c r="T39" s="71" t="s">
        <v>926</v>
      </c>
    </row>
    <row r="40" spans="19:20" ht="28.8" x14ac:dyDescent="0.3">
      <c r="S40" s="71" t="s">
        <v>189</v>
      </c>
      <c r="T40" s="71" t="s">
        <v>891</v>
      </c>
    </row>
    <row r="41" spans="19:20" x14ac:dyDescent="0.3">
      <c r="S41" s="67" t="s">
        <v>1100</v>
      </c>
      <c r="T41" s="71" t="s">
        <v>1110</v>
      </c>
    </row>
    <row r="42" spans="19:20" x14ac:dyDescent="0.3">
      <c r="S42" s="67" t="s">
        <v>1101</v>
      </c>
      <c r="T42" s="71" t="s">
        <v>1110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CC48-8D05-44FB-897C-7722BC13B04E}">
  <sheetPr codeName="Sheet4"/>
  <dimension ref="A1:ADG531"/>
  <sheetViews>
    <sheetView topLeftCell="A67" workbookViewId="0">
      <selection activeCell="H81" sqref="H81"/>
    </sheetView>
  </sheetViews>
  <sheetFormatPr defaultRowHeight="14.4" x14ac:dyDescent="0.3"/>
  <cols>
    <col min="2" max="2" width="12.88671875" bestFit="1" customWidth="1"/>
    <col min="3" max="3" width="46" bestFit="1" customWidth="1"/>
    <col min="4" max="4" width="17.33203125" customWidth="1"/>
    <col min="5" max="5" width="15.44140625" customWidth="1"/>
    <col min="6" max="6" width="17.33203125" customWidth="1"/>
    <col min="7" max="7" width="22.5546875" bestFit="1" customWidth="1"/>
    <col min="10" max="10" width="17.33203125" bestFit="1" customWidth="1"/>
    <col min="11" max="11" width="15.44140625" bestFit="1" customWidth="1"/>
    <col min="12" max="12" width="17.33203125" bestFit="1" customWidth="1"/>
    <col min="13" max="13" width="13.6640625" bestFit="1" customWidth="1"/>
    <col min="14" max="14" width="11.6640625" bestFit="1" customWidth="1"/>
    <col min="15" max="15" width="13.5546875" bestFit="1" customWidth="1"/>
    <col min="16" max="16" width="16.5546875" bestFit="1" customWidth="1"/>
    <col min="17" max="17" width="14.6640625" bestFit="1" customWidth="1"/>
    <col min="18" max="18" width="16.44140625" bestFit="1" customWidth="1"/>
    <col min="19" max="19" width="17.6640625" bestFit="1" customWidth="1"/>
    <col min="20" max="20" width="15.6640625" bestFit="1" customWidth="1"/>
    <col min="21" max="21" width="17.5546875" bestFit="1" customWidth="1"/>
    <col min="22" max="22" width="16.6640625" bestFit="1" customWidth="1"/>
    <col min="23" max="23" width="14.88671875" bestFit="1" customWidth="1"/>
    <col min="24" max="24" width="16.5546875" bestFit="1" customWidth="1"/>
    <col min="25" max="25" width="20.44140625" bestFit="1" customWidth="1"/>
    <col min="26" max="26" width="18.6640625" bestFit="1" customWidth="1"/>
    <col min="27" max="27" width="20.33203125" bestFit="1" customWidth="1"/>
    <col min="28" max="28" width="15.33203125" bestFit="1" customWidth="1"/>
    <col min="29" max="29" width="13.5546875" bestFit="1" customWidth="1"/>
    <col min="30" max="30" width="15.33203125" bestFit="1" customWidth="1"/>
    <col min="31" max="31" width="18.6640625" bestFit="1" customWidth="1"/>
    <col min="32" max="32" width="16.6640625" bestFit="1" customWidth="1"/>
    <col min="33" max="33" width="18.5546875" bestFit="1" customWidth="1"/>
    <col min="34" max="34" width="16.6640625" bestFit="1" customWidth="1"/>
    <col min="35" max="35" width="15" bestFit="1" customWidth="1"/>
    <col min="36" max="37" width="16.6640625" bestFit="1" customWidth="1"/>
    <col min="38" max="38" width="14.88671875" bestFit="1" customWidth="1"/>
    <col min="39" max="39" width="16.5546875" bestFit="1" customWidth="1"/>
    <col min="40" max="40" width="12.44140625" bestFit="1" customWidth="1"/>
    <col min="41" max="41" width="10.6640625" bestFit="1" customWidth="1"/>
    <col min="42" max="42" width="12.33203125" bestFit="1" customWidth="1"/>
    <col min="43" max="43" width="8.33203125" bestFit="1" customWidth="1"/>
    <col min="44" max="44" width="6.5546875" bestFit="1" customWidth="1"/>
    <col min="45" max="45" width="8.33203125" bestFit="1" customWidth="1"/>
  </cols>
  <sheetData>
    <row r="1" spans="2:4" x14ac:dyDescent="0.3">
      <c r="B1" t="s">
        <v>20</v>
      </c>
    </row>
    <row r="2" spans="2:4" x14ac:dyDescent="0.3">
      <c r="B2" t="str" cm="1">
        <f t="array" ref="B2:B18">_xlfn.UNIQUE(RAW[[Destination ]])</f>
        <v>Janki Chatti</v>
      </c>
      <c r="D2" t="s">
        <v>26</v>
      </c>
    </row>
    <row r="3" spans="2:4" x14ac:dyDescent="0.3">
      <c r="B3" t="str">
        <v>Kedarnath</v>
      </c>
    </row>
    <row r="4" spans="2:4" x14ac:dyDescent="0.3">
      <c r="B4" t="str">
        <v>Uttarkashi</v>
      </c>
    </row>
    <row r="5" spans="2:4" x14ac:dyDescent="0.3">
      <c r="B5" t="str">
        <v>Sonprayag</v>
      </c>
    </row>
    <row r="6" spans="2:4" x14ac:dyDescent="0.3">
      <c r="B6" t="str">
        <v>Sitapur</v>
      </c>
    </row>
    <row r="7" spans="2:4" x14ac:dyDescent="0.3">
      <c r="B7" t="str">
        <v>Rudraprayag</v>
      </c>
    </row>
    <row r="8" spans="2:4" x14ac:dyDescent="0.3">
      <c r="B8" t="str">
        <v>Pipalkoti</v>
      </c>
    </row>
    <row r="9" spans="2:4" x14ac:dyDescent="0.3">
      <c r="B9" t="str">
        <v>Badarinath</v>
      </c>
    </row>
    <row r="10" spans="2:4" x14ac:dyDescent="0.3">
      <c r="B10" t="str">
        <v>Barkot</v>
      </c>
    </row>
    <row r="11" spans="2:4" x14ac:dyDescent="0.3">
      <c r="B11" t="str">
        <v>Pandukeshwar</v>
      </c>
    </row>
    <row r="12" spans="2:4" x14ac:dyDescent="0.3">
      <c r="B12" t="str">
        <v>Guptkashi</v>
      </c>
    </row>
    <row r="13" spans="2:4" x14ac:dyDescent="0.3">
      <c r="B13" t="str">
        <v>Chopta</v>
      </c>
    </row>
    <row r="14" spans="2:4" x14ac:dyDescent="0.3">
      <c r="B14" t="str">
        <v>Joshimath</v>
      </c>
    </row>
    <row r="15" spans="2:4" x14ac:dyDescent="0.3">
      <c r="B15" t="str">
        <v>Rishikesh</v>
      </c>
    </row>
    <row r="16" spans="2:4" x14ac:dyDescent="0.3">
      <c r="B16" t="str">
        <v>Harsil</v>
      </c>
    </row>
    <row r="17" spans="1:787" x14ac:dyDescent="0.3">
      <c r="B17" t="str">
        <v>Netala</v>
      </c>
    </row>
    <row r="18" spans="1:787" x14ac:dyDescent="0.3">
      <c r="B18" t="str">
        <v>Haridwar</v>
      </c>
    </row>
    <row r="21" spans="1:787" x14ac:dyDescent="0.3">
      <c r="A21" s="9" t="s">
        <v>20</v>
      </c>
      <c r="B21" s="9" t="s">
        <v>4</v>
      </c>
      <c r="C21" s="9"/>
      <c r="D21" s="9" t="s">
        <v>110</v>
      </c>
      <c r="E21" t="s">
        <v>111</v>
      </c>
      <c r="F21" t="s">
        <v>109</v>
      </c>
      <c r="G21" t="s">
        <v>42</v>
      </c>
      <c r="J21" t="str" cm="1">
        <f t="array" ref="J21:AB21">TRANSPOSE(City)</f>
        <v>Janki Chatti</v>
      </c>
      <c r="K21" t="str">
        <v>Kedarnath</v>
      </c>
      <c r="L21" t="str">
        <v>Uttarkashi</v>
      </c>
      <c r="M21" t="str">
        <v>Sonprayag</v>
      </c>
      <c r="N21" t="str">
        <v>Sitapur</v>
      </c>
      <c r="O21" t="str">
        <v>Rudraprayag</v>
      </c>
      <c r="P21" t="str">
        <v>Pipalkoti</v>
      </c>
      <c r="Q21" t="str">
        <v>Badarinath</v>
      </c>
      <c r="R21" t="str">
        <v>Barkot</v>
      </c>
      <c r="S21" t="str">
        <v>Pandukeshwar</v>
      </c>
      <c r="T21" t="str">
        <v>Guptkashi</v>
      </c>
      <c r="U21" t="str">
        <v>Chopta</v>
      </c>
      <c r="V21" t="str">
        <v>Joshimath</v>
      </c>
      <c r="W21" t="str">
        <v>Rishikesh</v>
      </c>
      <c r="X21" t="str">
        <v>Harsil</v>
      </c>
      <c r="Y21" t="str">
        <v>Netala</v>
      </c>
      <c r="Z21" t="str">
        <v>Haridwar</v>
      </c>
      <c r="AA21">
        <v>0</v>
      </c>
      <c r="AB21">
        <v>0</v>
      </c>
    </row>
    <row r="22" spans="1:787" x14ac:dyDescent="0.3">
      <c r="A22" t="e">
        <f>IF(B22="","",_xlfn.XLOOKUP(B22,'Raw'!D:D,'Raw'!B:B))</f>
        <v>#N/A</v>
      </c>
      <c r="B22" cm="1">
        <f t="array" ref="B22">_xlfn.UNIQUE(RAW[Hotel Code])</f>
        <v>0</v>
      </c>
      <c r="C22" t="e">
        <f>VLOOKUP(B22,RAW[[Hotel Code]:[Hotel / Resort Name ]],2,0)</f>
        <v>#N/A</v>
      </c>
      <c r="D22" t="e">
        <f>$A22&amp;D$21</f>
        <v>#N/A</v>
      </c>
      <c r="E22" t="e">
        <f t="shared" ref="E22:F37" si="0">$A22&amp;E$21</f>
        <v>#N/A</v>
      </c>
      <c r="F22" t="e">
        <f t="shared" si="0"/>
        <v>#N/A</v>
      </c>
      <c r="G22" t="s">
        <v>113</v>
      </c>
      <c r="J22" t="str" cm="1">
        <f t="array" ref="J22:J24">_xlfn.UNIQUE(_xlfn._xlws.FILTER(RAW[Room Type],RAW[[Destination ]]=Sheet2!J21))</f>
        <v>Budget</v>
      </c>
      <c r="K22" t="str" cm="1">
        <f t="array" ref="K22:K23">_xlfn.UNIQUE(_xlfn._xlws.FILTER(RAW[Room Type],RAW[[Destination ]]=Sheet2!K21))</f>
        <v>Premium</v>
      </c>
      <c r="L22" t="str" cm="1">
        <f t="array" ref="L22:L24">_xlfn.UNIQUE(_xlfn._xlws.FILTER(RAW[Room Type],RAW[[Destination ]]=Sheet2!L21))</f>
        <v>Standard</v>
      </c>
      <c r="M22" t="str" cm="1">
        <f t="array" ref="M22:M24">_xlfn.UNIQUE(_xlfn._xlws.FILTER(RAW[Room Type],RAW[[Destination ]]=Sheet2!M21))</f>
        <v>Budget</v>
      </c>
      <c r="N22" t="str" cm="1">
        <f t="array" ref="N22:N24">_xlfn.UNIQUE(_xlfn._xlws.FILTER(RAW[Room Type],RAW[[Destination ]]=Sheet2!N21))</f>
        <v>Standard</v>
      </c>
      <c r="O22" t="str" cm="1">
        <f t="array" ref="O22:O23">_xlfn.UNIQUE(_xlfn._xlws.FILTER(RAW[Room Type],RAW[[Destination ]]=Sheet2!O21))</f>
        <v>Standard</v>
      </c>
      <c r="P22" t="str" cm="1">
        <f t="array" ref="P22:P24">_xlfn.UNIQUE(_xlfn._xlws.FILTER(RAW[Room Type],RAW[[Destination ]]=Sheet2!P21))</f>
        <v>Premium</v>
      </c>
      <c r="Q22" t="str" cm="1">
        <f t="array" ref="Q22:Q23">_xlfn.UNIQUE(_xlfn._xlws.FILTER(RAW[Room Type],RAW[[Destination ]]=Sheet2!Q21))</f>
        <v>Premium</v>
      </c>
      <c r="R22" t="str" cm="1">
        <f t="array" ref="R22:R24">_xlfn.UNIQUE(_xlfn._xlws.FILTER(RAW[Room Type],RAW[[Destination ]]=Sheet2!R21))</f>
        <v>Standard</v>
      </c>
      <c r="S22" t="str" cm="1">
        <f t="array" ref="S22">_xlfn.UNIQUE(_xlfn._xlws.FILTER(RAW[Room Type],RAW[[Destination ]]=Sheet2!S21))</f>
        <v>Standard</v>
      </c>
      <c r="T22" t="str" cm="1">
        <f t="array" ref="T22">_xlfn.UNIQUE(_xlfn._xlws.FILTER(RAW[Room Type],RAW[[Destination ]]=Sheet2!T21))</f>
        <v>Budget</v>
      </c>
      <c r="U22" t="str" cm="1">
        <f t="array" ref="U22">_xlfn.UNIQUE(_xlfn._xlws.FILTER(RAW[Room Type],RAW[[Destination ]]=Sheet2!U21))</f>
        <v>Standard</v>
      </c>
      <c r="V22" t="str" cm="1">
        <f t="array" ref="V22">_xlfn.UNIQUE(_xlfn._xlws.FILTER(RAW[Room Type],RAW[[Destination ]]=Sheet2!V21))</f>
        <v>Premium</v>
      </c>
      <c r="W22" t="str" cm="1">
        <f t="array" ref="W22">_xlfn.UNIQUE(_xlfn._xlws.FILTER(RAW[Room Type],RAW[[Destination ]]=Sheet2!W21))</f>
        <v>Premium</v>
      </c>
      <c r="X22" t="str" cm="1">
        <f t="array" ref="X22">_xlfn.UNIQUE(_xlfn._xlws.FILTER(RAW[Room Type],RAW[[Destination ]]=Sheet2!X21))</f>
        <v>Premium</v>
      </c>
      <c r="Y22" t="str" cm="1">
        <f t="array" ref="Y22">_xlfn.UNIQUE(_xlfn._xlws.FILTER(RAW[Room Type],RAW[[Destination ]]=Sheet2!Y21))</f>
        <v>Premium</v>
      </c>
      <c r="Z22" t="str" cm="1">
        <f t="array" ref="Z22:Z24">_xlfn.UNIQUE(_xlfn._xlws.FILTER(RAW[Room Type],RAW[[Destination ]]=Sheet2!Z21))</f>
        <v>Budget</v>
      </c>
      <c r="AA22" t="e" cm="1" vm="1">
        <f t="array" ref="AA22">_xlfn.UNIQUE(_xlfn._xlws.FILTER(RAW[Room Type],RAW[[Destination ]]=Sheet2!AA21))</f>
        <v>#VALUE!</v>
      </c>
      <c r="AB22" t="e" cm="1" vm="1">
        <f t="array" ref="AB22">_xlfn.UNIQUE(_xlfn._xlws.FILTER(RAW[Room Type],RAW[[Destination ]]=Sheet2!AB21))</f>
        <v>#VALUE!</v>
      </c>
      <c r="AC22" t="e" cm="1" vm="1">
        <f t="array" ref="AC22">_xlfn.UNIQUE(_xlfn._xlws.FILTER(RAW[Room Type],RAW[[Destination ]]=Sheet2!AC21))</f>
        <v>#VALUE!</v>
      </c>
      <c r="AD22" t="str" cm="1">
        <f t="array" ref="AD22">IF(AD21="","",_xlfn._xlws.FILTER(RAW[[#All],[Room Type]],RAW[[#All],[Hotel / Resort Name ]]=Sheet2!AD$21))</f>
        <v/>
      </c>
      <c r="AE22" t="str" cm="1">
        <f t="array" ref="AE22">IF(AE21="","",_xlfn._xlws.FILTER(RAW[[#All],[Room Type]],RAW[[#All],[Hotel / Resort Name ]]=Sheet2!AE$21))</f>
        <v/>
      </c>
      <c r="AF22" t="str" cm="1">
        <f t="array" ref="AF22">IF(AF21="","",_xlfn._xlws.FILTER(RAW[[#All],[Room Type]],RAW[[#All],[Hotel / Resort Name ]]=Sheet2!AF$21))</f>
        <v/>
      </c>
      <c r="AG22" t="str" cm="1">
        <f t="array" ref="AG22">IF(AG21="","",_xlfn._xlws.FILTER(RAW[[#All],[Room Type]],RAW[[#All],[Hotel / Resort Name ]]=Sheet2!AG$21))</f>
        <v/>
      </c>
      <c r="AH22" t="str" cm="1">
        <f t="array" ref="AH22">IF(AH21="","",_xlfn._xlws.FILTER(RAW[[#All],[Room Type]],RAW[[#All],[Hotel / Resort Name ]]=Sheet2!AH$21))</f>
        <v/>
      </c>
      <c r="AI22" t="str" cm="1">
        <f t="array" ref="AI22">IF(AI21="","",_xlfn._xlws.FILTER(RAW[[#All],[Room Type]],RAW[[#All],[Hotel / Resort Name ]]=Sheet2!AI$21))</f>
        <v/>
      </c>
      <c r="AJ22" t="str" cm="1">
        <f t="array" ref="AJ22">IF(AJ21="","",_xlfn._xlws.FILTER(RAW[[#All],[Room Type]],RAW[[#All],[Hotel / Resort Name ]]=Sheet2!AJ$21))</f>
        <v/>
      </c>
      <c r="AK22" t="str" cm="1">
        <f t="array" ref="AK22">IF(AK21="","",_xlfn._xlws.FILTER(RAW[[#All],[Room Type]],RAW[[#All],[Hotel / Resort Name ]]=Sheet2!AK$21))</f>
        <v/>
      </c>
      <c r="AL22" t="str" cm="1">
        <f t="array" ref="AL22">IF(AL21="","",_xlfn._xlws.FILTER(RAW[[#All],[Room Type]],RAW[[#All],[Hotel / Resort Name ]]=Sheet2!AL$21))</f>
        <v/>
      </c>
      <c r="AM22" t="str" cm="1">
        <f t="array" ref="AM22">IF(AM21="","",_xlfn._xlws.FILTER(RAW[[#All],[Room Type]],RAW[[#All],[Hotel / Resort Name ]]=Sheet2!AM$21))</f>
        <v/>
      </c>
      <c r="AN22" t="str" cm="1">
        <f t="array" ref="AN22">IF(AN21="","",_xlfn._xlws.FILTER(RAW[[#All],[Room Type]],RAW[[#All],[Hotel / Resort Name ]]=Sheet2!AN$21))</f>
        <v/>
      </c>
      <c r="AO22" t="str" cm="1">
        <f t="array" ref="AO22">IF(AO21="","",_xlfn._xlws.FILTER(RAW[[#All],[Room Type]],RAW[[#All],[Hotel / Resort Name ]]=Sheet2!AO$21))</f>
        <v/>
      </c>
      <c r="AP22" t="str" cm="1">
        <f t="array" ref="AP22">IF(AP21="","",_xlfn._xlws.FILTER(RAW[[#All],[Room Type]],RAW[[#All],[Hotel / Resort Name ]]=Sheet2!AP$21))</f>
        <v/>
      </c>
      <c r="AQ22" t="str" cm="1">
        <f t="array" ref="AQ22">IF(AQ21="","",_xlfn._xlws.FILTER(RAW[[#All],[Room Type]],RAW[[#All],[Hotel / Resort Name ]]=Sheet2!AQ$21))</f>
        <v/>
      </c>
      <c r="AR22" t="str" cm="1">
        <f t="array" ref="AR22">IF(AR21="","",_xlfn._xlws.FILTER(RAW[[#All],[Room Type]],RAW[[#All],[Hotel / Resort Name ]]=Sheet2!AR$21))</f>
        <v/>
      </c>
      <c r="AS22" t="str" cm="1">
        <f t="array" ref="AS22">IF(AS21="","",_xlfn._xlws.FILTER(RAW[[#All],[Room Type]],RAW[[#All],[Hotel / Resort Name ]]=Sheet2!AS$21))</f>
        <v/>
      </c>
      <c r="AT22" t="str" cm="1">
        <f t="array" ref="AT22">IF(AT21="","",_xlfn._xlws.FILTER(RAW[[#All],[Room Type]],RAW[[#All],[Hotel / Resort Name ]]=Sheet2!AT$21))</f>
        <v/>
      </c>
      <c r="AU22" t="str" cm="1">
        <f t="array" ref="AU22">IF(AU21="","",_xlfn._xlws.FILTER(RAW[[#All],[Room Type]],RAW[[#All],[Hotel / Resort Name ]]=Sheet2!AU$21))</f>
        <v/>
      </c>
      <c r="AV22" t="str" cm="1">
        <f t="array" ref="AV22">IF(AV21="","",_xlfn._xlws.FILTER(RAW[[#All],[Room Type]],RAW[[#All],[Hotel / Resort Name ]]=Sheet2!AV$21))</f>
        <v/>
      </c>
      <c r="AW22" t="str" cm="1">
        <f t="array" ref="AW22">IF(AW21="","",_xlfn._xlws.FILTER(RAW[[#All],[Room Type]],RAW[[#All],[Hotel / Resort Name ]]=Sheet2!AW$21))</f>
        <v/>
      </c>
      <c r="AX22" t="str" cm="1">
        <f t="array" ref="AX22">IF(AX21="","",_xlfn._xlws.FILTER(RAW[[#All],[Room Type]],RAW[[#All],[Hotel / Resort Name ]]=Sheet2!AX$21))</f>
        <v/>
      </c>
      <c r="AY22" t="str" cm="1">
        <f t="array" ref="AY22">IF(AY21="","",_xlfn._xlws.FILTER(RAW[[#All],[Room Type]],RAW[[#All],[Hotel / Resort Name ]]=Sheet2!AY$21))</f>
        <v/>
      </c>
      <c r="AZ22" t="str" cm="1">
        <f t="array" ref="AZ22">IF(AZ21="","",_xlfn._xlws.FILTER(RAW[[#All],[Room Type]],RAW[[#All],[Hotel / Resort Name ]]=Sheet2!AZ$21))</f>
        <v/>
      </c>
      <c r="BA22" t="str" cm="1">
        <f t="array" ref="BA22">IF(BA21="","",_xlfn._xlws.FILTER(RAW[[#All],[Room Type]],RAW[[#All],[Hotel / Resort Name ]]=Sheet2!BA$21))</f>
        <v/>
      </c>
      <c r="BB22" t="str" cm="1">
        <f t="array" ref="BB22">IF(BB21="","",_xlfn._xlws.FILTER(RAW[[#All],[Room Type]],RAW[[#All],[Hotel / Resort Name ]]=Sheet2!BB$21))</f>
        <v/>
      </c>
      <c r="BC22" t="str" cm="1">
        <f t="array" ref="BC22">IF(BC21="","",_xlfn._xlws.FILTER(RAW[[#All],[Room Type]],RAW[[#All],[Hotel / Resort Name ]]=Sheet2!BC$21))</f>
        <v/>
      </c>
      <c r="BD22" t="str" cm="1">
        <f t="array" ref="BD22">IF(BD21="","",_xlfn._xlws.FILTER(RAW[[#All],[Room Type]],RAW[[#All],[Hotel / Resort Name ]]=Sheet2!BD$21))</f>
        <v/>
      </c>
      <c r="BE22" t="str" cm="1">
        <f t="array" ref="BE22">IF(BE21="","",_xlfn._xlws.FILTER(RAW[[#All],[Room Type]],RAW[[#All],[Hotel / Resort Name ]]=Sheet2!BE$21))</f>
        <v/>
      </c>
      <c r="BF22" t="str" cm="1">
        <f t="array" ref="BF22">IF(BF21="","",_xlfn._xlws.FILTER(RAW[[#All],[Room Type]],RAW[[#All],[Hotel / Resort Name ]]=Sheet2!BF$21))</f>
        <v/>
      </c>
      <c r="BG22" t="str" cm="1">
        <f t="array" ref="BG22">IF(BG21="","",_xlfn._xlws.FILTER(RAW[[#All],[Room Type]],RAW[[#All],[Hotel / Resort Name ]]=Sheet2!BG$21))</f>
        <v/>
      </c>
      <c r="BH22" t="str" cm="1">
        <f t="array" ref="BH22">IF(BH21="","",_xlfn._xlws.FILTER(RAW[[#All],[Room Type]],RAW[[#All],[Hotel / Resort Name ]]=Sheet2!BH$21))</f>
        <v/>
      </c>
      <c r="BI22" t="str" cm="1">
        <f t="array" ref="BI22">IF(BI21="","",_xlfn._xlws.FILTER(RAW[[#All],[Room Type]],RAW[[#All],[Hotel / Resort Name ]]=Sheet2!BI$21))</f>
        <v/>
      </c>
      <c r="BJ22" t="str" cm="1">
        <f t="array" ref="BJ22">IF(BJ21="","",_xlfn._xlws.FILTER(RAW[[#All],[Room Type]],RAW[[#All],[Hotel / Resort Name ]]=Sheet2!BJ$21))</f>
        <v/>
      </c>
      <c r="BK22" t="str" cm="1">
        <f t="array" ref="BK22">IF(BK21="","",_xlfn._xlws.FILTER(RAW[[#All],[Room Type]],RAW[[#All],[Hotel / Resort Name ]]=Sheet2!BK$21))</f>
        <v/>
      </c>
      <c r="BL22" t="str" cm="1">
        <f t="array" ref="BL22">IF(BL21="","",_xlfn._xlws.FILTER(RAW[[#All],[Room Type]],RAW[[#All],[Hotel / Resort Name ]]=Sheet2!BL$21))</f>
        <v/>
      </c>
      <c r="BM22" t="str" cm="1">
        <f t="array" ref="BM22">IF(BM21="","",_xlfn._xlws.FILTER(RAW[[#All],[Room Type]],RAW[[#All],[Hotel / Resort Name ]]=Sheet2!BM$21))</f>
        <v/>
      </c>
      <c r="BN22" t="str" cm="1">
        <f t="array" ref="BN22">IF(BN21="","",_xlfn._xlws.FILTER(RAW[[#All],[Room Type]],RAW[[#All],[Hotel / Resort Name ]]=Sheet2!BN$21))</f>
        <v/>
      </c>
      <c r="BO22" t="str" cm="1">
        <f t="array" ref="BO22">IF(BO21="","",_xlfn._xlws.FILTER(RAW[[#All],[Room Type]],RAW[[#All],[Hotel / Resort Name ]]=Sheet2!BO$21))</f>
        <v/>
      </c>
      <c r="BP22" t="str" cm="1">
        <f t="array" ref="BP22">IF(BP21="","",_xlfn._xlws.FILTER(RAW[[#All],[Room Type]],RAW[[#All],[Hotel / Resort Name ]]=Sheet2!BP$21))</f>
        <v/>
      </c>
      <c r="BQ22" t="str" cm="1">
        <f t="array" ref="BQ22">IF(BQ21="","",_xlfn._xlws.FILTER(RAW[[#All],[Room Type]],RAW[[#All],[Hotel / Resort Name ]]=Sheet2!BQ$21))</f>
        <v/>
      </c>
      <c r="BR22" t="str" cm="1">
        <f t="array" ref="BR22">IF(BR21="","",_xlfn._xlws.FILTER(RAW[[#All],[Room Type]],RAW[[#All],[Hotel / Resort Name ]]=Sheet2!BR$21))</f>
        <v/>
      </c>
      <c r="BS22" t="str" cm="1">
        <f t="array" ref="BS22">IF(BS21="","",_xlfn._xlws.FILTER(RAW[[#All],[Room Type]],RAW[[#All],[Hotel / Resort Name ]]=Sheet2!BS$21))</f>
        <v/>
      </c>
      <c r="BT22" t="str" cm="1">
        <f t="array" ref="BT22">IF(BT21="","",_xlfn._xlws.FILTER(RAW[[#All],[Room Type]],RAW[[#All],[Hotel / Resort Name ]]=Sheet2!BT$21))</f>
        <v/>
      </c>
      <c r="BU22" t="str" cm="1">
        <f t="array" ref="BU22">IF(BU$21&lt;&gt;"",_xlfn.UNIQUE(_xlfn._xlws.FILTER(RAW[[#All],[Room Type]],RAW[[#All],[Hotel / Resort Name ]]=Sheet2!BU$21)),"")</f>
        <v/>
      </c>
      <c r="BV22" t="str" cm="1">
        <f t="array" ref="BV22">IF(BV$21&lt;&gt;"",_xlfn.UNIQUE(_xlfn._xlws.FILTER(RAW[[#All],[Room Type]],RAW[[#All],[Hotel / Resort Name ]]=Sheet2!BV$21)),"")</f>
        <v/>
      </c>
      <c r="BW22" t="str" cm="1">
        <f t="array" ref="BW22">IF(BW$21&lt;&gt;"",_xlfn.UNIQUE(_xlfn._xlws.FILTER(RAW[[#All],[Room Type]],RAW[[#All],[Hotel / Resort Name ]]=Sheet2!BW$21)),"")</f>
        <v/>
      </c>
      <c r="BX22" t="str" cm="1">
        <f t="array" ref="BX22">IF(BX$21&lt;&gt;"",_xlfn.UNIQUE(_xlfn._xlws.FILTER(RAW[[#All],[Room Type]],RAW[[#All],[Hotel / Resort Name ]]=Sheet2!BX$21)),"")</f>
        <v/>
      </c>
      <c r="BY22" t="str" cm="1">
        <f t="array" ref="BY22">IF(BY$21&lt;&gt;"",_xlfn.UNIQUE(_xlfn._xlws.FILTER(RAW[[#All],[Room Type]],RAW[[#All],[Hotel / Resort Name ]]=Sheet2!BY$21)),"")</f>
        <v/>
      </c>
      <c r="BZ22" t="str" cm="1">
        <f t="array" ref="BZ22">IF(BZ$21&lt;&gt;"",_xlfn.UNIQUE(_xlfn._xlws.FILTER(RAW[[#All],[Room Type]],RAW[[#All],[Hotel / Resort Name ]]=Sheet2!BZ$21)),"")</f>
        <v/>
      </c>
      <c r="CA22" t="str" cm="1">
        <f t="array" ref="CA22">IF(CA$21&lt;&gt;"",_xlfn.UNIQUE(_xlfn._xlws.FILTER(RAW[[#All],[Room Type]],RAW[[#All],[Hotel / Resort Name ]]=Sheet2!CA$21)),"")</f>
        <v/>
      </c>
      <c r="CB22" t="str" cm="1">
        <f t="array" ref="CB22">IF(CB$21&lt;&gt;"",_xlfn.UNIQUE(_xlfn._xlws.FILTER(RAW[[#All],[Room Type]],RAW[[#All],[Hotel / Resort Name ]]=Sheet2!CB$21)),"")</f>
        <v/>
      </c>
      <c r="CC22" t="str" cm="1">
        <f t="array" ref="CC22">IF(CC$21&lt;&gt;"",_xlfn.UNIQUE(_xlfn._xlws.FILTER(RAW[[#All],[Room Type]],RAW[[#All],[Hotel / Resort Name ]]=Sheet2!CC$21)),"")</f>
        <v/>
      </c>
      <c r="CD22" t="str" cm="1">
        <f t="array" ref="CD22">IF(CD$21&lt;&gt;"",_xlfn.UNIQUE(_xlfn._xlws.FILTER(RAW[[#All],[Room Type]],RAW[[#All],[Hotel / Resort Name ]]=Sheet2!CD$21)),"")</f>
        <v/>
      </c>
      <c r="CE22" t="str" cm="1">
        <f t="array" ref="CE22">IF(CE$21&lt;&gt;"",_xlfn.UNIQUE(_xlfn._xlws.FILTER(RAW[[#All],[Room Type]],RAW[[#All],[Hotel / Resort Name ]]=Sheet2!CE$21)),"")</f>
        <v/>
      </c>
      <c r="CF22" t="str" cm="1">
        <f t="array" ref="CF22">IF(CF$21&lt;&gt;"",_xlfn.UNIQUE(_xlfn._xlws.FILTER(RAW[[#All],[Room Type]],RAW[[#All],[Hotel / Resort Name ]]=Sheet2!CF$21)),"")</f>
        <v/>
      </c>
      <c r="CG22" t="str" cm="1">
        <f t="array" ref="CG22">IF(CG$21&lt;&gt;"",_xlfn.UNIQUE(_xlfn._xlws.FILTER(RAW[[#All],[Room Type]],RAW[[#All],[Hotel / Resort Name ]]=Sheet2!CG$21)),"")</f>
        <v/>
      </c>
      <c r="CH22" t="str" cm="1">
        <f t="array" ref="CH22">IF(CH$21&lt;&gt;"",_xlfn.UNIQUE(_xlfn._xlws.FILTER(RAW[[#All],[Room Type]],RAW[[#All],[Hotel / Resort Name ]]=Sheet2!CH$21)),"")</f>
        <v/>
      </c>
      <c r="CI22" t="str" cm="1">
        <f t="array" ref="CI22">IF(CI$21&lt;&gt;"",_xlfn.UNIQUE(_xlfn._xlws.FILTER(RAW[[#All],[Room Type]],RAW[[#All],[Hotel / Resort Name ]]=Sheet2!CI$21)),"")</f>
        <v/>
      </c>
      <c r="CJ22" t="str" cm="1">
        <f t="array" ref="CJ22">IF(CJ$21&lt;&gt;"",_xlfn.UNIQUE(_xlfn._xlws.FILTER(RAW[[#All],[Room Type]],RAW[[#All],[Hotel / Resort Name ]]=Sheet2!CJ$21)),"")</f>
        <v/>
      </c>
      <c r="CK22" t="str" cm="1">
        <f t="array" ref="CK22">IF(CK$21&lt;&gt;"",_xlfn.UNIQUE(_xlfn._xlws.FILTER(RAW[[#All],[Room Type]],RAW[[#All],[Hotel / Resort Name ]]=Sheet2!CK$21)),"")</f>
        <v/>
      </c>
      <c r="CL22" t="str" cm="1">
        <f t="array" ref="CL22">IF(CL$21&lt;&gt;"",_xlfn.UNIQUE(_xlfn._xlws.FILTER(RAW[[#All],[Room Type]],RAW[[#All],[Hotel / Resort Name ]]=Sheet2!CL$21)),"")</f>
        <v/>
      </c>
      <c r="CM22" t="str" cm="1">
        <f t="array" ref="CM22">IF(CM$21&lt;&gt;"",_xlfn.UNIQUE(_xlfn._xlws.FILTER(RAW[[#All],[Room Type]],RAW[[#All],[Hotel / Resort Name ]]=Sheet2!CM$21)),"")</f>
        <v/>
      </c>
      <c r="CN22" t="str" cm="1">
        <f t="array" ref="CN22">IF(CN$21&lt;&gt;"",_xlfn.UNIQUE(_xlfn._xlws.FILTER(RAW[[#All],[Room Type]],RAW[[#All],[Hotel / Resort Name ]]=Sheet2!CN$21)),"")</f>
        <v/>
      </c>
      <c r="CO22" t="str" cm="1">
        <f t="array" ref="CO22">IF(CO$21&lt;&gt;"",_xlfn.UNIQUE(_xlfn._xlws.FILTER(RAW[[#All],[Room Type]],RAW[[#All],[Hotel / Resort Name ]]=Sheet2!CO$21)),"")</f>
        <v/>
      </c>
      <c r="CP22" t="str" cm="1">
        <f t="array" ref="CP22">IF(CP$21&lt;&gt;"",_xlfn.UNIQUE(_xlfn._xlws.FILTER(RAW[[#All],[Room Type]],RAW[[#All],[Hotel / Resort Name ]]=Sheet2!CP$21)),"")</f>
        <v/>
      </c>
      <c r="CQ22" t="str" cm="1">
        <f t="array" ref="CQ22">IF(CQ$21&lt;&gt;"",_xlfn.UNIQUE(_xlfn._xlws.FILTER(RAW[[#All],[Room Type]],RAW[[#All],[Hotel / Resort Name ]]=Sheet2!CQ$21)),"")</f>
        <v/>
      </c>
      <c r="CR22" t="str" cm="1">
        <f t="array" ref="CR22">IF(CR$21&lt;&gt;"",_xlfn.UNIQUE(_xlfn._xlws.FILTER(RAW[[#All],[Room Type]],RAW[[#All],[Hotel / Resort Name ]]=Sheet2!CR$21)),"")</f>
        <v/>
      </c>
      <c r="CS22" t="str" cm="1">
        <f t="array" ref="CS22">IF(CS$21&lt;&gt;"",_xlfn.UNIQUE(_xlfn._xlws.FILTER(RAW[[#All],[Room Type]],RAW[[#All],[Hotel / Resort Name ]]=Sheet2!CS$21)),"")</f>
        <v/>
      </c>
      <c r="CT22" t="str" cm="1">
        <f t="array" ref="CT22">IF(CT$21&lt;&gt;"",_xlfn.UNIQUE(_xlfn._xlws.FILTER(RAW[[#All],[Room Type]],RAW[[#All],[Hotel / Resort Name ]]=Sheet2!CT$21)),"")</f>
        <v/>
      </c>
      <c r="CU22" t="str" cm="1">
        <f t="array" ref="CU22">IF(CU$21&lt;&gt;"",_xlfn.UNIQUE(_xlfn._xlws.FILTER(RAW[[#All],[Room Type]],RAW[[#All],[Hotel / Resort Name ]]=Sheet2!CU$21)),"")</f>
        <v/>
      </c>
      <c r="CV22" t="str" cm="1">
        <f t="array" ref="CV22">IF(CV$21&lt;&gt;"",_xlfn.UNIQUE(_xlfn._xlws.FILTER(RAW[[#All],[Room Type]],RAW[[#All],[Hotel / Resort Name ]]=Sheet2!CV$21)),"")</f>
        <v/>
      </c>
      <c r="CW22" t="str" cm="1">
        <f t="array" ref="CW22">IF(CW$21&lt;&gt;"",_xlfn.UNIQUE(_xlfn._xlws.FILTER(RAW[[#All],[Room Type]],RAW[[#All],[Hotel / Resort Name ]]=Sheet2!CW$21)),"")</f>
        <v/>
      </c>
      <c r="CX22" t="str" cm="1">
        <f t="array" ref="CX22">IF(CX$21&lt;&gt;"",_xlfn.UNIQUE(_xlfn._xlws.FILTER(RAW[[#All],[Room Type]],RAW[[#All],[Hotel / Resort Name ]]=Sheet2!CX$21)),"")</f>
        <v/>
      </c>
      <c r="CY22" t="str" cm="1">
        <f t="array" ref="CY22">IF(CY$21&lt;&gt;"",_xlfn.UNIQUE(_xlfn._xlws.FILTER(RAW[[#All],[Room Type]],RAW[[#All],[Hotel / Resort Name ]]=Sheet2!CY$21)),"")</f>
        <v/>
      </c>
      <c r="CZ22" t="str" cm="1">
        <f t="array" ref="CZ22">IF(CZ$21&lt;&gt;"",_xlfn.UNIQUE(_xlfn._xlws.FILTER(RAW[[#All],[Room Type]],RAW[[#All],[Hotel / Resort Name ]]=Sheet2!CZ$21)),"")</f>
        <v/>
      </c>
      <c r="DA22" t="str" cm="1">
        <f t="array" ref="DA22">IF(DA$21&lt;&gt;"",_xlfn.UNIQUE(_xlfn._xlws.FILTER(RAW[[#All],[Room Type]],RAW[[#All],[Hotel / Resort Name ]]=Sheet2!DA$21)),"")</f>
        <v/>
      </c>
      <c r="DB22" t="str" cm="1">
        <f t="array" ref="DB22">IF(DB$21&lt;&gt;"",_xlfn.UNIQUE(_xlfn._xlws.FILTER(RAW[[#All],[Room Type]],RAW[[#All],[Hotel / Resort Name ]]=Sheet2!DB$21)),"")</f>
        <v/>
      </c>
      <c r="DC22" t="str" cm="1">
        <f t="array" ref="DC22">IF(DC$21&lt;&gt;"",_xlfn.UNIQUE(_xlfn._xlws.FILTER(RAW[[#All],[Room Type]],RAW[[#All],[Hotel / Resort Name ]]=Sheet2!DC$21)),"")</f>
        <v/>
      </c>
      <c r="DD22" t="str" cm="1">
        <f t="array" ref="DD22">IF(DD$21&lt;&gt;"",_xlfn.UNIQUE(_xlfn._xlws.FILTER(RAW[[#All],[Room Type]],RAW[[#All],[Hotel / Resort Name ]]=Sheet2!DD$21)),"")</f>
        <v/>
      </c>
      <c r="DE22" t="str" cm="1">
        <f t="array" ref="DE22">IF(DE$21&lt;&gt;"",_xlfn.UNIQUE(_xlfn._xlws.FILTER(RAW[[#All],[Room Type]],RAW[[#All],[Hotel / Resort Name ]]=Sheet2!DE$21)),"")</f>
        <v/>
      </c>
      <c r="DF22" t="str" cm="1">
        <f t="array" ref="DF22">IF(DF$21&lt;&gt;"",_xlfn.UNIQUE(_xlfn._xlws.FILTER(RAW[[#All],[Room Type]],RAW[[#All],[Hotel / Resort Name ]]=Sheet2!DF$21)),"")</f>
        <v/>
      </c>
      <c r="DG22" t="str" cm="1">
        <f t="array" ref="DG22">IF(DG$21&lt;&gt;"",_xlfn.UNIQUE(_xlfn._xlws.FILTER(RAW[[#All],[Room Type]],RAW[[#All],[Hotel / Resort Name ]]=Sheet2!DG$21)),"")</f>
        <v/>
      </c>
      <c r="DH22" t="str" cm="1">
        <f t="array" ref="DH22">IF(DH$21&lt;&gt;"",_xlfn.UNIQUE(_xlfn._xlws.FILTER(RAW[[#All],[Room Type]],RAW[[#All],[Hotel / Resort Name ]]=Sheet2!DH$21)),"")</f>
        <v/>
      </c>
      <c r="DI22" t="str" cm="1">
        <f t="array" ref="DI22">IF(DI$21&lt;&gt;"",_xlfn.UNIQUE(_xlfn._xlws.FILTER(RAW[[#All],[Room Type]],RAW[[#All],[Hotel / Resort Name ]]=Sheet2!DI$21)),"")</f>
        <v/>
      </c>
      <c r="DJ22" t="str" cm="1">
        <f t="array" ref="DJ22">IF(DJ$21&lt;&gt;"",_xlfn.UNIQUE(_xlfn._xlws.FILTER(RAW[[#All],[Room Type]],RAW[[#All],[Hotel / Resort Name ]]=Sheet2!DJ$21)),"")</f>
        <v/>
      </c>
      <c r="DK22" t="str" cm="1">
        <f t="array" ref="DK22">IF(DK$21&lt;&gt;"",_xlfn.UNIQUE(_xlfn._xlws.FILTER(RAW[[#All],[Room Type]],RAW[[#All],[Hotel / Resort Name ]]=Sheet2!DK$21)),"")</f>
        <v/>
      </c>
      <c r="DL22" t="str" cm="1">
        <f t="array" ref="DL22">IF(DL$21&lt;&gt;"",_xlfn.UNIQUE(_xlfn._xlws.FILTER(RAW[[#All],[Room Type]],RAW[[#All],[Hotel / Resort Name ]]=Sheet2!DL$21)),"")</f>
        <v/>
      </c>
      <c r="DM22" t="str" cm="1">
        <f t="array" ref="DM22">IF(DM$21&lt;&gt;"",_xlfn.UNIQUE(_xlfn._xlws.FILTER(RAW[[#All],[Room Type]],RAW[[#All],[Hotel / Resort Name ]]=Sheet2!DM$21)),"")</f>
        <v/>
      </c>
      <c r="DN22" t="str" cm="1">
        <f t="array" ref="DN22">IF(DN$21&lt;&gt;"",_xlfn.UNIQUE(_xlfn._xlws.FILTER(RAW[[#All],[Room Type]],RAW[[#All],[Hotel / Resort Name ]]=Sheet2!DN$21)),"")</f>
        <v/>
      </c>
      <c r="DO22" t="str" cm="1">
        <f t="array" ref="DO22">IF(DO$21&lt;&gt;"",_xlfn.UNIQUE(_xlfn._xlws.FILTER(RAW[[#All],[Room Type]],RAW[[#All],[Hotel / Resort Name ]]=Sheet2!DO$21)),"")</f>
        <v/>
      </c>
      <c r="DP22" t="str" cm="1">
        <f t="array" ref="DP22">IF(DP$21&lt;&gt;"",_xlfn.UNIQUE(_xlfn._xlws.FILTER(RAW[[#All],[Room Type]],RAW[[#All],[Hotel / Resort Name ]]=Sheet2!DP$21)),"")</f>
        <v/>
      </c>
      <c r="DQ22" t="str" cm="1">
        <f t="array" ref="DQ22">IF(DQ$21&lt;&gt;"",_xlfn.UNIQUE(_xlfn._xlws.FILTER(RAW[[#All],[Room Type]],RAW[[#All],[Hotel / Resort Name ]]=Sheet2!DQ$21)),"")</f>
        <v/>
      </c>
      <c r="DR22" t="str" cm="1">
        <f t="array" ref="DR22">IF(DR$21&lt;&gt;"",_xlfn.UNIQUE(_xlfn._xlws.FILTER(RAW[[#All],[Room Type]],RAW[[#All],[Hotel / Resort Name ]]=Sheet2!DR$21)),"")</f>
        <v/>
      </c>
      <c r="DS22" t="str" cm="1">
        <f t="array" ref="DS22">IF(DS$21&lt;&gt;"",_xlfn.UNIQUE(_xlfn._xlws.FILTER(RAW[[#All],[Room Type]],RAW[[#All],[Hotel / Resort Name ]]=Sheet2!DS$21)),"")</f>
        <v/>
      </c>
      <c r="DT22" t="str" cm="1">
        <f t="array" ref="DT22">IF(DT$21&lt;&gt;"",_xlfn.UNIQUE(_xlfn._xlws.FILTER(RAW[[#All],[Room Type]],RAW[[#All],[Hotel / Resort Name ]]=Sheet2!DT$21)),"")</f>
        <v/>
      </c>
      <c r="DU22" t="str" cm="1">
        <f t="array" ref="DU22">IF(DU$21&lt;&gt;"",_xlfn.UNIQUE(_xlfn._xlws.FILTER(RAW[[#All],[Room Type]],RAW[[#All],[Hotel / Resort Name ]]=Sheet2!DU$21)),"")</f>
        <v/>
      </c>
      <c r="DV22" t="str" cm="1">
        <f t="array" ref="DV22">IF(DV$21&lt;&gt;"",_xlfn.UNIQUE(_xlfn._xlws.FILTER(RAW[[#All],[Room Type]],RAW[[#All],[Hotel / Resort Name ]]=Sheet2!DV$21)),"")</f>
        <v/>
      </c>
      <c r="DW22" t="str" cm="1">
        <f t="array" ref="DW22">IF(DW$21&lt;&gt;"",_xlfn.UNIQUE(_xlfn._xlws.FILTER(RAW[[#All],[Room Type]],RAW[[#All],[Hotel / Resort Name ]]=Sheet2!DW$21)),"")</f>
        <v/>
      </c>
      <c r="DX22" t="str" cm="1">
        <f t="array" ref="DX22">IF(DX$21&lt;&gt;"",_xlfn.UNIQUE(_xlfn._xlws.FILTER(RAW[[#All],[Room Type]],RAW[[#All],[Hotel / Resort Name ]]=Sheet2!DX$21)),"")</f>
        <v/>
      </c>
      <c r="DY22" t="str" cm="1">
        <f t="array" ref="DY22">IF(DY$21&lt;&gt;"",_xlfn.UNIQUE(_xlfn._xlws.FILTER(RAW[[#All],[Room Type]],RAW[[#All],[Hotel / Resort Name ]]=Sheet2!DY$21)),"")</f>
        <v/>
      </c>
      <c r="DZ22" t="str" cm="1">
        <f t="array" ref="DZ22">IF(DZ$21&lt;&gt;"",_xlfn.UNIQUE(_xlfn._xlws.FILTER(RAW[[#All],[Room Type]],RAW[[#All],[Hotel / Resort Name ]]=Sheet2!DZ$21)),"")</f>
        <v/>
      </c>
      <c r="EA22" t="str" cm="1">
        <f t="array" ref="EA22">IF(EA$21&lt;&gt;"",_xlfn.UNIQUE(_xlfn._xlws.FILTER(RAW[[#All],[Room Type]],RAW[[#All],[Hotel / Resort Name ]]=Sheet2!EA$21)),"")</f>
        <v/>
      </c>
      <c r="EB22" t="str" cm="1">
        <f t="array" ref="EB22">IF(EB$21&lt;&gt;"",_xlfn.UNIQUE(_xlfn._xlws.FILTER(RAW[[#All],[Room Type]],RAW[[#All],[Hotel / Resort Name ]]=Sheet2!EB$21)),"")</f>
        <v/>
      </c>
      <c r="EC22" t="str" cm="1">
        <f t="array" ref="EC22">IF(EC$21&lt;&gt;"",_xlfn.UNIQUE(_xlfn._xlws.FILTER(RAW[[#All],[Room Type]],RAW[[#All],[Hotel / Resort Name ]]=Sheet2!EC$21)),"")</f>
        <v/>
      </c>
      <c r="ED22" t="str" cm="1">
        <f t="array" ref="ED22">IF(ED$21&lt;&gt;"",_xlfn.UNIQUE(_xlfn._xlws.FILTER(RAW[[#All],[Room Type]],RAW[[#All],[Hotel / Resort Name ]]=Sheet2!ED$21)),"")</f>
        <v/>
      </c>
      <c r="EE22" t="str" cm="1">
        <f t="array" ref="EE22">IF(EE$21&lt;&gt;"",_xlfn.UNIQUE(_xlfn._xlws.FILTER(RAW[[#All],[Room Type]],RAW[[#All],[Hotel / Resort Name ]]=Sheet2!EE$21)),"")</f>
        <v/>
      </c>
      <c r="EF22" t="str" cm="1">
        <f t="array" ref="EF22">IF(EF$21&lt;&gt;"",_xlfn.UNIQUE(_xlfn._xlws.FILTER(RAW[[#All],[Room Type]],RAW[[#All],[Hotel / Resort Name ]]=Sheet2!EF$21)),"")</f>
        <v/>
      </c>
      <c r="EG22" t="str" cm="1">
        <f t="array" ref="EG22">IF(EG$21&lt;&gt;"",_xlfn.UNIQUE(_xlfn._xlws.FILTER(RAW[[#All],[Room Type]],RAW[[#All],[Hotel / Resort Name ]]=Sheet2!EG$21)),"")</f>
        <v/>
      </c>
      <c r="EH22" t="str" cm="1">
        <f t="array" ref="EH22">IF(EH$21&lt;&gt;"",_xlfn.UNIQUE(_xlfn._xlws.FILTER(RAW[[#All],[Room Type]],RAW[[#All],[Hotel / Resort Name ]]=Sheet2!EH$21)),"")</f>
        <v/>
      </c>
      <c r="EI22" t="str" cm="1">
        <f t="array" ref="EI22">IF(EI$21&lt;&gt;"",_xlfn.UNIQUE(_xlfn._xlws.FILTER(RAW[[#All],[Room Type]],RAW[[#All],[Hotel / Resort Name ]]=Sheet2!EI$21)),"")</f>
        <v/>
      </c>
      <c r="EJ22" t="str" cm="1">
        <f t="array" ref="EJ22">IF(EJ$21&lt;&gt;"",_xlfn.UNIQUE(_xlfn._xlws.FILTER(RAW[[#All],[Room Type]],RAW[[#All],[Hotel / Resort Name ]]=Sheet2!EJ$21)),"")</f>
        <v/>
      </c>
      <c r="EK22" t="str" cm="1">
        <f t="array" ref="EK22">IF(EK$21&lt;&gt;"",_xlfn.UNIQUE(_xlfn._xlws.FILTER(RAW[[#All],[Room Type]],RAW[[#All],[Hotel / Resort Name ]]=Sheet2!EK$21)),"")</f>
        <v/>
      </c>
      <c r="EL22" t="str" cm="1">
        <f t="array" ref="EL22">IF(EL$21&lt;&gt;"",_xlfn.UNIQUE(_xlfn._xlws.FILTER(RAW[[#All],[Room Type]],RAW[[#All],[Hotel / Resort Name ]]=Sheet2!EL$21)),"")</f>
        <v/>
      </c>
      <c r="EM22" t="str" cm="1">
        <f t="array" ref="EM22">IF(EM$21&lt;&gt;"",_xlfn.UNIQUE(_xlfn._xlws.FILTER(RAW[[#All],[Room Type]],RAW[[#All],[Hotel / Resort Name ]]=Sheet2!EM$21)),"")</f>
        <v/>
      </c>
      <c r="EN22" t="str" cm="1">
        <f t="array" ref="EN22">IF(EN$21&lt;&gt;"",_xlfn.UNIQUE(_xlfn._xlws.FILTER(RAW[[#All],[Room Type]],RAW[[#All],[Hotel / Resort Name ]]=Sheet2!EN$21)),"")</f>
        <v/>
      </c>
      <c r="EO22" t="str" cm="1">
        <f t="array" ref="EO22">IF(EO$21&lt;&gt;"",_xlfn.UNIQUE(_xlfn._xlws.FILTER(RAW[[#All],[Room Type]],RAW[[#All],[Hotel / Resort Name ]]=Sheet2!EO$21)),"")</f>
        <v/>
      </c>
      <c r="EP22" t="str" cm="1">
        <f t="array" ref="EP22">IF(EP$21&lt;&gt;"",_xlfn.UNIQUE(_xlfn._xlws.FILTER(RAW[[#All],[Room Type]],RAW[[#All],[Hotel / Resort Name ]]=Sheet2!EP$21)),"")</f>
        <v/>
      </c>
      <c r="EQ22" t="str" cm="1">
        <f t="array" ref="EQ22">IF(EQ$21&lt;&gt;"",_xlfn.UNIQUE(_xlfn._xlws.FILTER(RAW[[#All],[Room Type]],RAW[[#All],[Hotel / Resort Name ]]=Sheet2!EQ$21)),"")</f>
        <v/>
      </c>
      <c r="ER22" t="str" cm="1">
        <f t="array" ref="ER22">IF(ER$21&lt;&gt;"",_xlfn.UNIQUE(_xlfn._xlws.FILTER(RAW[[#All],[Room Type]],RAW[[#All],[Hotel / Resort Name ]]=Sheet2!ER$21)),"")</f>
        <v/>
      </c>
      <c r="ES22" t="str" cm="1">
        <f t="array" ref="ES22">IF(ES$21&lt;&gt;"",_xlfn.UNIQUE(_xlfn._xlws.FILTER(RAW[[#All],[Room Type]],RAW[[#All],[Hotel / Resort Name ]]=Sheet2!ES$21)),"")</f>
        <v/>
      </c>
      <c r="ET22" t="str" cm="1">
        <f t="array" ref="ET22">IF(ET$21&lt;&gt;"",_xlfn.UNIQUE(_xlfn._xlws.FILTER(RAW[[#All],[Room Type]],RAW[[#All],[Hotel / Resort Name ]]=Sheet2!ET$21)),"")</f>
        <v/>
      </c>
      <c r="EU22" t="str" cm="1">
        <f t="array" ref="EU22">IF(EU$21&lt;&gt;"",_xlfn.UNIQUE(_xlfn._xlws.FILTER(RAW[[#All],[Room Type]],RAW[[#All],[Hotel / Resort Name ]]=Sheet2!EU$21)),"")</f>
        <v/>
      </c>
      <c r="EV22" t="str" cm="1">
        <f t="array" ref="EV22">IF(EV$21&lt;&gt;"",_xlfn.UNIQUE(_xlfn._xlws.FILTER(RAW[[#All],[Room Type]],RAW[[#All],[Hotel / Resort Name ]]=Sheet2!EV$21)),"")</f>
        <v/>
      </c>
      <c r="EW22" t="str" cm="1">
        <f t="array" ref="EW22">IF(EW$21&lt;&gt;"",_xlfn.UNIQUE(_xlfn._xlws.FILTER(RAW[[#All],[Room Type]],RAW[[#All],[Hotel / Resort Name ]]=Sheet2!EW$21)),"")</f>
        <v/>
      </c>
      <c r="EX22" t="str" cm="1">
        <f t="array" ref="EX22">IF(EX$21&lt;&gt;"",_xlfn.UNIQUE(_xlfn._xlws.FILTER(RAW[[#All],[Room Type]],RAW[[#All],[Hotel / Resort Name ]]=Sheet2!EX$21)),"")</f>
        <v/>
      </c>
      <c r="EY22" t="str" cm="1">
        <f t="array" ref="EY22">IF(EY$21&lt;&gt;"",_xlfn.UNIQUE(_xlfn._xlws.FILTER(RAW[[#All],[Room Type]],RAW[[#All],[Hotel / Resort Name ]]=Sheet2!EY$21)),"")</f>
        <v/>
      </c>
      <c r="EZ22" t="str" cm="1">
        <f t="array" ref="EZ22">IF(EZ$21&lt;&gt;"",_xlfn.UNIQUE(_xlfn._xlws.FILTER(RAW[[#All],[Room Type]],RAW[[#All],[Hotel / Resort Name ]]=Sheet2!EZ$21)),"")</f>
        <v/>
      </c>
      <c r="FA22" t="str" cm="1">
        <f t="array" ref="FA22">IF(FA$21&lt;&gt;"",_xlfn.UNIQUE(_xlfn._xlws.FILTER(RAW[[#All],[Room Type]],RAW[[#All],[Hotel / Resort Name ]]=Sheet2!FA$21)),"")</f>
        <v/>
      </c>
      <c r="FB22" t="str" cm="1">
        <f t="array" ref="FB22">IF(FB$21&lt;&gt;"",_xlfn.UNIQUE(_xlfn._xlws.FILTER(RAW[[#All],[Room Type]],RAW[[#All],[Hotel / Resort Name ]]=Sheet2!FB$21)),"")</f>
        <v/>
      </c>
      <c r="FC22" t="str" cm="1">
        <f t="array" ref="FC22">IF(FC$21&lt;&gt;"",_xlfn.UNIQUE(_xlfn._xlws.FILTER(RAW[[#All],[Room Type]],RAW[[#All],[Hotel / Resort Name ]]=Sheet2!FC$21)),"")</f>
        <v/>
      </c>
      <c r="FD22" t="str" cm="1">
        <f t="array" ref="FD22">IF(FD$21&lt;&gt;"",_xlfn.UNIQUE(_xlfn._xlws.FILTER(RAW[[#All],[Room Type]],RAW[[#All],[Hotel / Resort Name ]]=Sheet2!FD$21)),"")</f>
        <v/>
      </c>
      <c r="FE22" t="str" cm="1">
        <f t="array" ref="FE22">IF(FE$21&lt;&gt;"",_xlfn.UNIQUE(_xlfn._xlws.FILTER(RAW[[#All],[Room Type]],RAW[[#All],[Hotel / Resort Name ]]=Sheet2!FE$21)),"")</f>
        <v/>
      </c>
      <c r="FF22" t="str" cm="1">
        <f t="array" ref="FF22">IF(FF$21&lt;&gt;"",_xlfn.UNIQUE(_xlfn._xlws.FILTER(RAW[[#All],[Room Type]],RAW[[#All],[Hotel / Resort Name ]]=Sheet2!FF$21)),"")</f>
        <v/>
      </c>
      <c r="FG22" t="str" cm="1">
        <f t="array" ref="FG22">IF(FG$21&lt;&gt;"",_xlfn.UNIQUE(_xlfn._xlws.FILTER(RAW[[#All],[Room Type]],RAW[[#All],[Hotel / Resort Name ]]=Sheet2!FG$21)),"")</f>
        <v/>
      </c>
      <c r="FH22" t="str" cm="1">
        <f t="array" ref="FH22">IF(FH$21&lt;&gt;"",_xlfn.UNIQUE(_xlfn._xlws.FILTER(RAW[[#All],[Room Type]],RAW[[#All],[Hotel / Resort Name ]]=Sheet2!FH$21)),"")</f>
        <v/>
      </c>
      <c r="FI22" t="str" cm="1">
        <f t="array" ref="FI22">IF(FI$21&lt;&gt;"",_xlfn.UNIQUE(_xlfn._xlws.FILTER(RAW[[#All],[Room Type]],RAW[[#All],[Hotel / Resort Name ]]=Sheet2!FI$21)),"")</f>
        <v/>
      </c>
      <c r="FJ22" t="str" cm="1">
        <f t="array" ref="FJ22">IF(FJ$21&lt;&gt;"",_xlfn.UNIQUE(_xlfn._xlws.FILTER(RAW[[#All],[Room Type]],RAW[[#All],[Hotel / Resort Name ]]=Sheet2!FJ$21)),"")</f>
        <v/>
      </c>
      <c r="FK22" t="str" cm="1">
        <f t="array" ref="FK22">IF(FK$21&lt;&gt;"",_xlfn.UNIQUE(_xlfn._xlws.FILTER(RAW[[#All],[Room Type]],RAW[[#All],[Hotel / Resort Name ]]=Sheet2!FK$21)),"")</f>
        <v/>
      </c>
      <c r="FL22" t="str" cm="1">
        <f t="array" ref="FL22">IF(FL$21&lt;&gt;"",_xlfn.UNIQUE(_xlfn._xlws.FILTER(RAW[[#All],[Room Type]],RAW[[#All],[Hotel / Resort Name ]]=Sheet2!FL$21)),"")</f>
        <v/>
      </c>
      <c r="FM22" t="str" cm="1">
        <f t="array" ref="FM22">IF(FM$21&lt;&gt;"",_xlfn.UNIQUE(_xlfn._xlws.FILTER(RAW[[#All],[Room Type]],RAW[[#All],[Hotel / Resort Name ]]=Sheet2!FM$21)),"")</f>
        <v/>
      </c>
      <c r="FN22" t="str" cm="1">
        <f t="array" ref="FN22">IF(FN$21&lt;&gt;"",_xlfn.UNIQUE(_xlfn._xlws.FILTER(RAW[[#All],[Room Type]],RAW[[#All],[Hotel / Resort Name ]]=Sheet2!FN$21)),"")</f>
        <v/>
      </c>
      <c r="FO22" t="str" cm="1">
        <f t="array" ref="FO22">IF(FO$21&lt;&gt;"",_xlfn.UNIQUE(_xlfn._xlws.FILTER(RAW[[#All],[Room Type]],RAW[[#All],[Hotel / Resort Name ]]=Sheet2!FO$21)),"")</f>
        <v/>
      </c>
      <c r="FP22" t="str" cm="1">
        <f t="array" ref="FP22">IF(FP$21&lt;&gt;"",_xlfn.UNIQUE(_xlfn._xlws.FILTER(RAW[[#All],[Room Type]],RAW[[#All],[Hotel / Resort Name ]]=Sheet2!FP$21)),"")</f>
        <v/>
      </c>
      <c r="FQ22" t="str" cm="1">
        <f t="array" ref="FQ22">IF(FQ$21&lt;&gt;"",_xlfn.UNIQUE(_xlfn._xlws.FILTER(RAW[[#All],[Room Type]],RAW[[#All],[Hotel / Resort Name ]]=Sheet2!FQ$21)),"")</f>
        <v/>
      </c>
      <c r="FR22" t="str" cm="1">
        <f t="array" ref="FR22">IF(FR$21&lt;&gt;"",_xlfn.UNIQUE(_xlfn._xlws.FILTER(RAW[[#All],[Room Type]],RAW[[#All],[Hotel / Resort Name ]]=Sheet2!FR$21)),"")</f>
        <v/>
      </c>
      <c r="FS22" t="str" cm="1">
        <f t="array" ref="FS22">IF(FS$21&lt;&gt;"",_xlfn.UNIQUE(_xlfn._xlws.FILTER(RAW[[#All],[Room Type]],RAW[[#All],[Hotel / Resort Name ]]=Sheet2!FS$21)),"")</f>
        <v/>
      </c>
      <c r="FT22" t="str" cm="1">
        <f t="array" ref="FT22">IF(FT$21&lt;&gt;"",_xlfn.UNIQUE(_xlfn._xlws.FILTER(RAW[[#All],[Room Type]],RAW[[#All],[Hotel / Resort Name ]]=Sheet2!FT$21)),"")</f>
        <v/>
      </c>
      <c r="FU22" t="str" cm="1">
        <f t="array" ref="FU22">IF(FU$21&lt;&gt;"",_xlfn.UNIQUE(_xlfn._xlws.FILTER(RAW[[#All],[Room Type]],RAW[[#All],[Hotel / Resort Name ]]=Sheet2!FU$21)),"")</f>
        <v/>
      </c>
      <c r="FV22" t="str" cm="1">
        <f t="array" ref="FV22">IF(FV$21&lt;&gt;"",_xlfn.UNIQUE(_xlfn._xlws.FILTER(RAW[[#All],[Room Type]],RAW[[#All],[Hotel / Resort Name ]]=Sheet2!FV$21)),"")</f>
        <v/>
      </c>
      <c r="FW22" t="str" cm="1">
        <f t="array" ref="FW22">IF(FW$21&lt;&gt;"",_xlfn.UNIQUE(_xlfn._xlws.FILTER(RAW[[#All],[Room Type]],RAW[[#All],[Hotel / Resort Name ]]=Sheet2!FW$21)),"")</f>
        <v/>
      </c>
      <c r="FX22" t="str" cm="1">
        <f t="array" ref="FX22">IF(FX$21&lt;&gt;"",_xlfn.UNIQUE(_xlfn._xlws.FILTER(RAW[[#All],[Room Type]],RAW[[#All],[Hotel / Resort Name ]]=Sheet2!FX$21)),"")</f>
        <v/>
      </c>
      <c r="FY22" t="str" cm="1">
        <f t="array" ref="FY22">IF(FY$21&lt;&gt;"",_xlfn.UNIQUE(_xlfn._xlws.FILTER(RAW[[#All],[Room Type]],RAW[[#All],[Hotel / Resort Name ]]=Sheet2!FY$21)),"")</f>
        <v/>
      </c>
      <c r="FZ22" t="str" cm="1">
        <f t="array" ref="FZ22">IF(FZ$21&lt;&gt;"",_xlfn.UNIQUE(_xlfn._xlws.FILTER(RAW[[#All],[Room Type]],RAW[[#All],[Hotel / Resort Name ]]=Sheet2!FZ$21)),"")</f>
        <v/>
      </c>
      <c r="GA22" t="str" cm="1">
        <f t="array" ref="GA22">IF(GA$21&lt;&gt;"",_xlfn.UNIQUE(_xlfn._xlws.FILTER(RAW[[#All],[Room Type]],RAW[[#All],[Hotel / Resort Name ]]=Sheet2!GA$21)),"")</f>
        <v/>
      </c>
      <c r="GB22" t="str" cm="1">
        <f t="array" ref="GB22">IF(GB$21&lt;&gt;"",_xlfn.UNIQUE(_xlfn._xlws.FILTER(RAW[[#All],[Room Type]],RAW[[#All],[Hotel / Resort Name ]]=Sheet2!GB$21)),"")</f>
        <v/>
      </c>
      <c r="GC22" t="str" cm="1">
        <f t="array" ref="GC22">IF(GC$21&lt;&gt;"",_xlfn.UNIQUE(_xlfn._xlws.FILTER(RAW[[#All],[Room Type]],RAW[[#All],[Hotel / Resort Name ]]=Sheet2!GC$21)),"")</f>
        <v/>
      </c>
      <c r="GD22" t="str" cm="1">
        <f t="array" ref="GD22">IF(GD$21&lt;&gt;"",_xlfn.UNIQUE(_xlfn._xlws.FILTER(RAW[[#All],[Room Type]],RAW[[#All],[Hotel / Resort Name ]]=Sheet2!GD$21)),"")</f>
        <v/>
      </c>
      <c r="GE22" t="str" cm="1">
        <f t="array" ref="GE22">IF(GE$21&lt;&gt;"",_xlfn.UNIQUE(_xlfn._xlws.FILTER(RAW[[#All],[Room Type]],RAW[[#All],[Hotel / Resort Name ]]=Sheet2!GE$21)),"")</f>
        <v/>
      </c>
      <c r="GF22" t="str" cm="1">
        <f t="array" ref="GF22">IF(GF$21&lt;&gt;"",_xlfn.UNIQUE(_xlfn._xlws.FILTER(RAW[[#All],[Room Type]],RAW[[#All],[Hotel / Resort Name ]]=Sheet2!GF$21)),"")</f>
        <v/>
      </c>
      <c r="GG22" t="str" cm="1">
        <f t="array" ref="GG22">IF(GG$21&lt;&gt;"",_xlfn.UNIQUE(_xlfn._xlws.FILTER(RAW[[#All],[Room Type]],RAW[[#All],[Hotel / Resort Name ]]=Sheet2!GG$21)),"")</f>
        <v/>
      </c>
      <c r="GH22" t="str" cm="1">
        <f t="array" ref="GH22">IF(GH$21&lt;&gt;"",_xlfn.UNIQUE(_xlfn._xlws.FILTER(RAW[[#All],[Room Type]],RAW[[#All],[Hotel / Resort Name ]]=Sheet2!GH$21)),"")</f>
        <v/>
      </c>
      <c r="GI22" t="str" cm="1">
        <f t="array" ref="GI22">IF(GI$21&lt;&gt;"",_xlfn.UNIQUE(_xlfn._xlws.FILTER(RAW[[#All],[Room Type]],RAW[[#All],[Hotel / Resort Name ]]=Sheet2!GI$21)),"")</f>
        <v/>
      </c>
      <c r="GJ22" t="str" cm="1">
        <f t="array" ref="GJ22">IF(GJ$21&lt;&gt;"",_xlfn.UNIQUE(_xlfn._xlws.FILTER(RAW[[#All],[Room Type]],RAW[[#All],[Hotel / Resort Name ]]=Sheet2!GJ$21)),"")</f>
        <v/>
      </c>
      <c r="GK22" t="str" cm="1">
        <f t="array" ref="GK22">IF(GK$21&lt;&gt;"",_xlfn.UNIQUE(_xlfn._xlws.FILTER(RAW[[#All],[Room Type]],RAW[[#All],[Hotel / Resort Name ]]=Sheet2!GK$21)),"")</f>
        <v/>
      </c>
      <c r="GL22" t="str" cm="1">
        <f t="array" ref="GL22">IF(GL$21&lt;&gt;"",_xlfn.UNIQUE(_xlfn._xlws.FILTER(RAW[[#All],[Room Type]],RAW[[#All],[Hotel / Resort Name ]]=Sheet2!GL$21)),"")</f>
        <v/>
      </c>
      <c r="GM22" t="str" cm="1">
        <f t="array" ref="GM22">IF(GM$21&lt;&gt;"",_xlfn.UNIQUE(_xlfn._xlws.FILTER(RAW[[#All],[Room Type]],RAW[[#All],[Hotel / Resort Name ]]=Sheet2!GM$21)),"")</f>
        <v/>
      </c>
      <c r="GN22" t="str" cm="1">
        <f t="array" ref="GN22">IF(GN$21&lt;&gt;"",_xlfn.UNIQUE(_xlfn._xlws.FILTER(RAW[[#All],[Room Type]],RAW[[#All],[Hotel / Resort Name ]]=Sheet2!GN$21)),"")</f>
        <v/>
      </c>
      <c r="GO22" t="str" cm="1">
        <f t="array" ref="GO22">IF(GO$21&lt;&gt;"",_xlfn.UNIQUE(_xlfn._xlws.FILTER(RAW[[#All],[Room Type]],RAW[[#All],[Hotel / Resort Name ]]=Sheet2!GO$21)),"")</f>
        <v/>
      </c>
      <c r="GP22" t="str" cm="1">
        <f t="array" ref="GP22">IF(GP$21&lt;&gt;"",_xlfn.UNIQUE(_xlfn._xlws.FILTER(RAW[[#All],[Room Type]],RAW[[#All],[Hotel / Resort Name ]]=Sheet2!GP$21)),"")</f>
        <v/>
      </c>
      <c r="GQ22" t="str" cm="1">
        <f t="array" ref="GQ22">IF(GQ$21&lt;&gt;"",_xlfn.UNIQUE(_xlfn._xlws.FILTER(RAW[[#All],[Room Type]],RAW[[#All],[Hotel / Resort Name ]]=Sheet2!GQ$21)),"")</f>
        <v/>
      </c>
      <c r="GR22" t="str" cm="1">
        <f t="array" ref="GR22">IF(GR$21&lt;&gt;"",_xlfn.UNIQUE(_xlfn._xlws.FILTER(RAW[[#All],[Room Type]],RAW[[#All],[Hotel / Resort Name ]]=Sheet2!GR$21)),"")</f>
        <v/>
      </c>
      <c r="GS22" t="str" cm="1">
        <f t="array" ref="GS22">IF(GS$21&lt;&gt;"",_xlfn.UNIQUE(_xlfn._xlws.FILTER(RAW[[#All],[Room Type]],RAW[[#All],[Hotel / Resort Name ]]=Sheet2!GS$21)),"")</f>
        <v/>
      </c>
      <c r="GT22" t="str" cm="1">
        <f t="array" ref="GT22">IF(GT$21&lt;&gt;"",_xlfn.UNIQUE(_xlfn._xlws.FILTER(RAW[[#All],[Room Type]],RAW[[#All],[Hotel / Resort Name ]]=Sheet2!GT$21)),"")</f>
        <v/>
      </c>
      <c r="GU22" t="str" cm="1">
        <f t="array" ref="GU22">IF(GU$21&lt;&gt;"",_xlfn.UNIQUE(_xlfn._xlws.FILTER(RAW[[#All],[Room Type]],RAW[[#All],[Hotel / Resort Name ]]=Sheet2!GU$21)),"")</f>
        <v/>
      </c>
      <c r="GV22" t="str" cm="1">
        <f t="array" ref="GV22">IF(GV$21&lt;&gt;"",_xlfn.UNIQUE(_xlfn._xlws.FILTER(RAW[[#All],[Room Type]],RAW[[#All],[Hotel / Resort Name ]]=Sheet2!GV$21)),"")</f>
        <v/>
      </c>
      <c r="GW22" t="str" cm="1">
        <f t="array" ref="GW22">IF(GW$21&lt;&gt;"",_xlfn.UNIQUE(_xlfn._xlws.FILTER(RAW[[#All],[Room Type]],RAW[[#All],[Hotel / Resort Name ]]=Sheet2!GW$21)),"")</f>
        <v/>
      </c>
      <c r="GX22" t="str" cm="1">
        <f t="array" ref="GX22">IF(GX$21&lt;&gt;"",_xlfn.UNIQUE(_xlfn._xlws.FILTER(RAW[[#All],[Room Type]],RAW[[#All],[Hotel / Resort Name ]]=Sheet2!GX$21)),"")</f>
        <v/>
      </c>
      <c r="GY22" t="str" cm="1">
        <f t="array" ref="GY22">IF(GY$21&lt;&gt;"",_xlfn.UNIQUE(_xlfn._xlws.FILTER(RAW[[#All],[Room Type]],RAW[[#All],[Hotel / Resort Name ]]=Sheet2!GY$21)),"")</f>
        <v/>
      </c>
      <c r="GZ22" t="str" cm="1">
        <f t="array" ref="GZ22">IF(GZ$21&lt;&gt;"",_xlfn.UNIQUE(_xlfn._xlws.FILTER(RAW[[#All],[Room Type]],RAW[[#All],[Hotel / Resort Name ]]=Sheet2!GZ$21)),"")</f>
        <v/>
      </c>
      <c r="HA22" t="str" cm="1">
        <f t="array" ref="HA22">IF(HA$21&lt;&gt;"",_xlfn.UNIQUE(_xlfn._xlws.FILTER(RAW[[#All],[Room Type]],RAW[[#All],[Hotel / Resort Name ]]=Sheet2!HA$21)),"")</f>
        <v/>
      </c>
      <c r="HB22" t="str" cm="1">
        <f t="array" ref="HB22">IF(HB$21&lt;&gt;"",_xlfn.UNIQUE(_xlfn._xlws.FILTER(RAW[[#All],[Room Type]],RAW[[#All],[Hotel / Resort Name ]]=Sheet2!HB$21)),"")</f>
        <v/>
      </c>
      <c r="HC22" t="str" cm="1">
        <f t="array" ref="HC22">IF(HC$21&lt;&gt;"",_xlfn.UNIQUE(_xlfn._xlws.FILTER(RAW[[#All],[Room Type]],RAW[[#All],[Hotel / Resort Name ]]=Sheet2!HC$21)),"")</f>
        <v/>
      </c>
      <c r="HD22" t="str" cm="1">
        <f t="array" ref="HD22">IF(HD$21&lt;&gt;"",_xlfn.UNIQUE(_xlfn._xlws.FILTER(RAW[[#All],[Room Type]],RAW[[#All],[Hotel / Resort Name ]]=Sheet2!HD$21)),"")</f>
        <v/>
      </c>
      <c r="HE22" t="str" cm="1">
        <f t="array" ref="HE22">IF(HE$21&lt;&gt;"",_xlfn.UNIQUE(_xlfn._xlws.FILTER(RAW[[#All],[Room Type]],RAW[[#All],[Hotel / Resort Name ]]=Sheet2!HE$21)),"")</f>
        <v/>
      </c>
      <c r="HF22" t="str" cm="1">
        <f t="array" ref="HF22">IF(HF$21&lt;&gt;"",_xlfn.UNIQUE(_xlfn._xlws.FILTER(RAW[[#All],[Room Type]],RAW[[#All],[Hotel / Resort Name ]]=Sheet2!HF$21)),"")</f>
        <v/>
      </c>
      <c r="HG22" t="str" cm="1">
        <f t="array" ref="HG22">IF(HG$21&lt;&gt;"",_xlfn.UNIQUE(_xlfn._xlws.FILTER(RAW[[#All],[Room Type]],RAW[[#All],[Hotel / Resort Name ]]=Sheet2!HG$21)),"")</f>
        <v/>
      </c>
      <c r="HH22" t="str" cm="1">
        <f t="array" ref="HH22">IF(HH$21&lt;&gt;"",_xlfn.UNIQUE(_xlfn._xlws.FILTER(RAW[[#All],[Room Type]],RAW[[#All],[Hotel / Resort Name ]]=Sheet2!HH$21)),"")</f>
        <v/>
      </c>
      <c r="HI22" t="str" cm="1">
        <f t="array" ref="HI22">IF(HI$21&lt;&gt;"",_xlfn.UNIQUE(_xlfn._xlws.FILTER(RAW[[#All],[Room Type]],RAW[[#All],[Hotel / Resort Name ]]=Sheet2!HI$21)),"")</f>
        <v/>
      </c>
      <c r="HJ22" t="str" cm="1">
        <f t="array" ref="HJ22">IF(HJ$21&lt;&gt;"",_xlfn.UNIQUE(_xlfn._xlws.FILTER(RAW[[#All],[Room Type]],RAW[[#All],[Hotel / Resort Name ]]=Sheet2!HJ$21)),"")</f>
        <v/>
      </c>
      <c r="HK22" t="str" cm="1">
        <f t="array" ref="HK22">IF(HK$21&lt;&gt;"",_xlfn.UNIQUE(_xlfn._xlws.FILTER(RAW[[#All],[Room Type]],RAW[[#All],[Hotel / Resort Name ]]=Sheet2!HK$21)),"")</f>
        <v/>
      </c>
      <c r="HL22" t="str" cm="1">
        <f t="array" ref="HL22">IF(HL$21&lt;&gt;"",_xlfn.UNIQUE(_xlfn._xlws.FILTER(RAW[[#All],[Room Type]],RAW[[#All],[Hotel / Resort Name ]]=Sheet2!HL$21)),"")</f>
        <v/>
      </c>
      <c r="HM22" t="str" cm="1">
        <f t="array" ref="HM22">IF(HM$21&lt;&gt;"",_xlfn.UNIQUE(_xlfn._xlws.FILTER(RAW[[#All],[Room Type]],RAW[[#All],[Hotel / Resort Name ]]=Sheet2!HM$21)),"")</f>
        <v/>
      </c>
      <c r="HN22" t="str" cm="1">
        <f t="array" ref="HN22">IF(HN$21&lt;&gt;"",_xlfn.UNIQUE(_xlfn._xlws.FILTER(RAW[[#All],[Room Type]],RAW[[#All],[Hotel / Resort Name ]]=Sheet2!HN$21)),"")</f>
        <v/>
      </c>
      <c r="HO22" t="str" cm="1">
        <f t="array" ref="HO22">IF(HO$21&lt;&gt;"",_xlfn.UNIQUE(_xlfn._xlws.FILTER(RAW[[#All],[Room Type]],RAW[[#All],[Hotel / Resort Name ]]=Sheet2!HO$21)),"")</f>
        <v/>
      </c>
      <c r="HP22" t="str" cm="1">
        <f t="array" ref="HP22">IF(HP$21&lt;&gt;"",_xlfn.UNIQUE(_xlfn._xlws.FILTER(RAW[[#All],[Room Type]],RAW[[#All],[Hotel / Resort Name ]]=Sheet2!HP$21)),"")</f>
        <v/>
      </c>
      <c r="HQ22" t="str" cm="1">
        <f t="array" ref="HQ22">IF(HQ$21&lt;&gt;"",_xlfn.UNIQUE(_xlfn._xlws.FILTER(RAW[[#All],[Room Type]],RAW[[#All],[Hotel / Resort Name ]]=Sheet2!HQ$21)),"")</f>
        <v/>
      </c>
      <c r="HR22" t="str" cm="1">
        <f t="array" ref="HR22">IF(HR$21&lt;&gt;"",_xlfn.UNIQUE(_xlfn._xlws.FILTER(RAW[[#All],[Room Type]],RAW[[#All],[Hotel / Resort Name ]]=Sheet2!HR$21)),"")</f>
        <v/>
      </c>
      <c r="HS22" t="str" cm="1">
        <f t="array" ref="HS22">IF(HS$21&lt;&gt;"",_xlfn.UNIQUE(_xlfn._xlws.FILTER(RAW[[#All],[Room Type]],RAW[[#All],[Hotel / Resort Name ]]=Sheet2!HS$21)),"")</f>
        <v/>
      </c>
      <c r="HT22" t="str" cm="1">
        <f t="array" ref="HT22">IF(HT$21&lt;&gt;"",_xlfn.UNIQUE(_xlfn._xlws.FILTER(RAW[[#All],[Room Type]],RAW[[#All],[Hotel / Resort Name ]]=Sheet2!HT$21)),"")</f>
        <v/>
      </c>
      <c r="HU22" t="str" cm="1">
        <f t="array" ref="HU22">IF(HU$21&lt;&gt;"",_xlfn.UNIQUE(_xlfn._xlws.FILTER(RAW[[#All],[Room Type]],RAW[[#All],[Hotel / Resort Name ]]=Sheet2!HU$21)),"")</f>
        <v/>
      </c>
      <c r="HV22" t="str" cm="1">
        <f t="array" ref="HV22">IF(HV$21&lt;&gt;"",_xlfn.UNIQUE(_xlfn._xlws.FILTER(RAW[[#All],[Room Type]],RAW[[#All],[Hotel / Resort Name ]]=Sheet2!HV$21)),"")</f>
        <v/>
      </c>
      <c r="HW22" t="str" cm="1">
        <f t="array" ref="HW22">IF(HW$21&lt;&gt;"",_xlfn.UNIQUE(_xlfn._xlws.FILTER(RAW[[#All],[Room Type]],RAW[[#All],[Hotel / Resort Name ]]=Sheet2!HW$21)),"")</f>
        <v/>
      </c>
      <c r="HX22" t="str" cm="1">
        <f t="array" ref="HX22">IF(HX$21&lt;&gt;"",_xlfn.UNIQUE(_xlfn._xlws.FILTER(RAW[[#All],[Room Type]],RAW[[#All],[Hotel / Resort Name ]]=Sheet2!HX$21)),"")</f>
        <v/>
      </c>
      <c r="HY22" t="str" cm="1">
        <f t="array" ref="HY22">IF(HY$21&lt;&gt;"",_xlfn.UNIQUE(_xlfn._xlws.FILTER(RAW[[#All],[Room Type]],RAW[[#All],[Hotel / Resort Name ]]=Sheet2!HY$21)),"")</f>
        <v/>
      </c>
      <c r="HZ22" t="str" cm="1">
        <f t="array" ref="HZ22">IF(HZ$21&lt;&gt;"",_xlfn.UNIQUE(_xlfn._xlws.FILTER(RAW[[#All],[Room Type]],RAW[[#All],[Hotel / Resort Name ]]=Sheet2!HZ$21)),"")</f>
        <v/>
      </c>
      <c r="IA22" t="str" cm="1">
        <f t="array" ref="IA22">IF(IA$21&lt;&gt;"",_xlfn.UNIQUE(_xlfn._xlws.FILTER(RAW[[#All],[Room Type]],RAW[[#All],[Hotel / Resort Name ]]=Sheet2!IA$21)),"")</f>
        <v/>
      </c>
      <c r="IB22" t="str" cm="1">
        <f t="array" ref="IB22">IF(IB$21&lt;&gt;"",_xlfn.UNIQUE(_xlfn._xlws.FILTER(RAW[[#All],[Room Type]],RAW[[#All],[Hotel / Resort Name ]]=Sheet2!IB$21)),"")</f>
        <v/>
      </c>
      <c r="IC22" t="str" cm="1">
        <f t="array" ref="IC22">IF(IC$21&lt;&gt;"",_xlfn.UNIQUE(_xlfn._xlws.FILTER(RAW[[#All],[Room Type]],RAW[[#All],[Hotel / Resort Name ]]=Sheet2!IC$21)),"")</f>
        <v/>
      </c>
      <c r="ID22" t="str" cm="1">
        <f t="array" ref="ID22">IF(ID$21&lt;&gt;"",_xlfn.UNIQUE(_xlfn._xlws.FILTER(RAW[[#All],[Room Type]],RAW[[#All],[Hotel / Resort Name ]]=Sheet2!ID$21)),"")</f>
        <v/>
      </c>
      <c r="IE22" t="str" cm="1">
        <f t="array" ref="IE22">IF(IE$21&lt;&gt;"",_xlfn.UNIQUE(_xlfn._xlws.FILTER(RAW[[#All],[Room Type]],RAW[[#All],[Hotel / Resort Name ]]=Sheet2!IE$21)),"")</f>
        <v/>
      </c>
      <c r="IF22" t="str" cm="1">
        <f t="array" ref="IF22">IF(IF$21&lt;&gt;"",_xlfn.UNIQUE(_xlfn._xlws.FILTER(RAW[[#All],[Room Type]],RAW[[#All],[Hotel / Resort Name ]]=Sheet2!IF$21)),"")</f>
        <v/>
      </c>
      <c r="IG22" t="str" cm="1">
        <f t="array" ref="IG22">IF(IG$21&lt;&gt;"",_xlfn.UNIQUE(_xlfn._xlws.FILTER(RAW[[#All],[Room Type]],RAW[[#All],[Hotel / Resort Name ]]=Sheet2!IG$21)),"")</f>
        <v/>
      </c>
      <c r="IH22" t="str" cm="1">
        <f t="array" ref="IH22">IF(IH$21&lt;&gt;"",_xlfn.UNIQUE(_xlfn._xlws.FILTER(RAW[[#All],[Room Type]],RAW[[#All],[Hotel / Resort Name ]]=Sheet2!IH$21)),"")</f>
        <v/>
      </c>
      <c r="II22" t="str" cm="1">
        <f t="array" ref="II22">IF(II$21&lt;&gt;"",_xlfn.UNIQUE(_xlfn._xlws.FILTER(RAW[[#All],[Room Type]],RAW[[#All],[Hotel / Resort Name ]]=Sheet2!II$21)),"")</f>
        <v/>
      </c>
      <c r="IJ22" t="str" cm="1">
        <f t="array" ref="IJ22">IF(IJ$21&lt;&gt;"",_xlfn.UNIQUE(_xlfn._xlws.FILTER(RAW[[#All],[Room Type]],RAW[[#All],[Hotel / Resort Name ]]=Sheet2!IJ$21)),"")</f>
        <v/>
      </c>
      <c r="IK22" t="str" cm="1">
        <f t="array" ref="IK22">IF(IK$21&lt;&gt;"",_xlfn.UNIQUE(_xlfn._xlws.FILTER(RAW[[#All],[Room Type]],RAW[[#All],[Hotel / Resort Name ]]=Sheet2!IK$21)),"")</f>
        <v/>
      </c>
      <c r="IL22" t="str" cm="1">
        <f t="array" ref="IL22">IF(IL$21&lt;&gt;"",_xlfn.UNIQUE(_xlfn._xlws.FILTER(RAW[[#All],[Room Type]],RAW[[#All],[Hotel / Resort Name ]]=Sheet2!IL$21)),"")</f>
        <v/>
      </c>
      <c r="IM22" t="str" cm="1">
        <f t="array" ref="IM22">IF(IM$21&lt;&gt;"",_xlfn.UNIQUE(_xlfn._xlws.FILTER(RAW[[#All],[Room Type]],RAW[[#All],[Hotel / Resort Name ]]=Sheet2!IM$21)),"")</f>
        <v/>
      </c>
      <c r="IN22" t="str" cm="1">
        <f t="array" ref="IN22">IF(IN$21&lt;&gt;"",_xlfn.UNIQUE(_xlfn._xlws.FILTER(RAW[[#All],[Room Type]],RAW[[#All],[Hotel / Resort Name ]]=Sheet2!IN$21)),"")</f>
        <v/>
      </c>
      <c r="IO22" t="str" cm="1">
        <f t="array" ref="IO22">IF(IO$21&lt;&gt;"",_xlfn.UNIQUE(_xlfn._xlws.FILTER(RAW[[#All],[Room Type]],RAW[[#All],[Hotel / Resort Name ]]=Sheet2!IO$21)),"")</f>
        <v/>
      </c>
      <c r="IP22" t="str" cm="1">
        <f t="array" ref="IP22">IF(IP$21&lt;&gt;"",_xlfn.UNIQUE(_xlfn._xlws.FILTER(RAW[[#All],[Room Type]],RAW[[#All],[Hotel / Resort Name ]]=Sheet2!IP$21)),"")</f>
        <v/>
      </c>
      <c r="IQ22" t="str" cm="1">
        <f t="array" ref="IQ22">IF(IQ$21&lt;&gt;"",_xlfn.UNIQUE(_xlfn._xlws.FILTER(RAW[[#All],[Room Type]],RAW[[#All],[Hotel / Resort Name ]]=Sheet2!IQ$21)),"")</f>
        <v/>
      </c>
      <c r="IR22" t="str" cm="1">
        <f t="array" ref="IR22">IF(IR$21&lt;&gt;"",_xlfn.UNIQUE(_xlfn._xlws.FILTER(RAW[[#All],[Room Type]],RAW[[#All],[Hotel / Resort Name ]]=Sheet2!IR$21)),"")</f>
        <v/>
      </c>
      <c r="IS22" t="str" cm="1">
        <f t="array" ref="IS22">IF(IS$21&lt;&gt;"",_xlfn.UNIQUE(_xlfn._xlws.FILTER(RAW[[#All],[Room Type]],RAW[[#All],[Hotel / Resort Name ]]=Sheet2!IS$21)),"")</f>
        <v/>
      </c>
      <c r="IT22" t="str" cm="1">
        <f t="array" ref="IT22">IF(IT$21&lt;&gt;"",_xlfn.UNIQUE(_xlfn._xlws.FILTER(RAW[[#All],[Room Type]],RAW[[#All],[Hotel / Resort Name ]]=Sheet2!IT$21)),"")</f>
        <v/>
      </c>
      <c r="IU22" t="str" cm="1">
        <f t="array" ref="IU22">IF(IU$21&lt;&gt;"",_xlfn.UNIQUE(_xlfn._xlws.FILTER(RAW[[#All],[Room Type]],RAW[[#All],[Hotel / Resort Name ]]=Sheet2!IU$21)),"")</f>
        <v/>
      </c>
      <c r="IV22" t="str" cm="1">
        <f t="array" ref="IV22">IF(IV$21&lt;&gt;"",_xlfn.UNIQUE(_xlfn._xlws.FILTER(RAW[[#All],[Room Type]],RAW[[#All],[Hotel / Resort Name ]]=Sheet2!IV$21)),"")</f>
        <v/>
      </c>
      <c r="IW22" t="str" cm="1">
        <f t="array" ref="IW22">IF(IW$21&lt;&gt;"",_xlfn.UNIQUE(_xlfn._xlws.FILTER(RAW[[#All],[Room Type]],RAW[[#All],[Hotel / Resort Name ]]=Sheet2!IW$21)),"")</f>
        <v/>
      </c>
      <c r="IX22" t="str" cm="1">
        <f t="array" ref="IX22">IF(IX$21&lt;&gt;"",_xlfn.UNIQUE(_xlfn._xlws.FILTER(RAW[[#All],[Room Type]],RAW[[#All],[Hotel / Resort Name ]]=Sheet2!IX$21)),"")</f>
        <v/>
      </c>
      <c r="IY22" t="str" cm="1">
        <f t="array" ref="IY22">IF(IY$21&lt;&gt;"",_xlfn.UNIQUE(_xlfn._xlws.FILTER(RAW[[#All],[Room Type]],RAW[[#All],[Hotel / Resort Name ]]=Sheet2!IY$21)),"")</f>
        <v/>
      </c>
      <c r="IZ22" t="str" cm="1">
        <f t="array" ref="IZ22">IF(IZ$21&lt;&gt;"",_xlfn.UNIQUE(_xlfn._xlws.FILTER(RAW[[#All],[Room Type]],RAW[[#All],[Hotel / Resort Name ]]=Sheet2!IZ$21)),"")</f>
        <v/>
      </c>
      <c r="JA22" t="str" cm="1">
        <f t="array" ref="JA22">IF(JA$21&lt;&gt;"",_xlfn.UNIQUE(_xlfn._xlws.FILTER(RAW[[#All],[Room Type]],RAW[[#All],[Hotel / Resort Name ]]=Sheet2!JA$21)),"")</f>
        <v/>
      </c>
      <c r="JB22" t="str" cm="1">
        <f t="array" ref="JB22">IF(JB$21&lt;&gt;"",_xlfn.UNIQUE(_xlfn._xlws.FILTER(RAW[[#All],[Room Type]],RAW[[#All],[Hotel / Resort Name ]]=Sheet2!JB$21)),"")</f>
        <v/>
      </c>
      <c r="JC22" t="str" cm="1">
        <f t="array" ref="JC22">IF(JC$21&lt;&gt;"",_xlfn.UNIQUE(_xlfn._xlws.FILTER(RAW[[#All],[Room Type]],RAW[[#All],[Hotel / Resort Name ]]=Sheet2!JC$21)),"")</f>
        <v/>
      </c>
      <c r="JD22" t="str" cm="1">
        <f t="array" ref="JD22">IF(JD$21&lt;&gt;"",_xlfn.UNIQUE(_xlfn._xlws.FILTER(RAW[[#All],[Room Type]],RAW[[#All],[Hotel / Resort Name ]]=Sheet2!JD$21)),"")</f>
        <v/>
      </c>
      <c r="JE22" t="str" cm="1">
        <f t="array" ref="JE22">IF(JE$21&lt;&gt;"",_xlfn.UNIQUE(_xlfn._xlws.FILTER(RAW[[#All],[Room Type]],RAW[[#All],[Hotel / Resort Name ]]=Sheet2!JE$21)),"")</f>
        <v/>
      </c>
      <c r="JF22" t="str" cm="1">
        <f t="array" ref="JF22">IF(JF$21&lt;&gt;"",_xlfn.UNIQUE(_xlfn._xlws.FILTER(RAW[[#All],[Room Type]],RAW[[#All],[Hotel / Resort Name ]]=Sheet2!JF$21)),"")</f>
        <v/>
      </c>
      <c r="JG22" t="str" cm="1">
        <f t="array" ref="JG22">IF(JG$21&lt;&gt;"",_xlfn.UNIQUE(_xlfn._xlws.FILTER(RAW[[#All],[Room Type]],RAW[[#All],[Hotel / Resort Name ]]=Sheet2!JG$21)),"")</f>
        <v/>
      </c>
      <c r="JH22" t="str" cm="1">
        <f t="array" ref="JH22">IF(JH$21&lt;&gt;"",_xlfn.UNIQUE(_xlfn._xlws.FILTER(RAW[[#All],[Room Type]],RAW[[#All],[Hotel / Resort Name ]]=Sheet2!JH$21)),"")</f>
        <v/>
      </c>
      <c r="JI22" t="str" cm="1">
        <f t="array" ref="JI22">IF(JI$21&lt;&gt;"",_xlfn.UNIQUE(_xlfn._xlws.FILTER(RAW[[#All],[Room Type]],RAW[[#All],[Hotel / Resort Name ]]=Sheet2!JI$21)),"")</f>
        <v/>
      </c>
      <c r="JJ22" t="str" cm="1">
        <f t="array" ref="JJ22">IF(JJ$21&lt;&gt;"",_xlfn.UNIQUE(_xlfn._xlws.FILTER(RAW[[#All],[Room Type]],RAW[[#All],[Hotel / Resort Name ]]=Sheet2!JJ$21)),"")</f>
        <v/>
      </c>
      <c r="JK22" t="str" cm="1">
        <f t="array" ref="JK22">IF(JK$21&lt;&gt;"",_xlfn.UNIQUE(_xlfn._xlws.FILTER(RAW[[#All],[Room Type]],RAW[[#All],[Hotel / Resort Name ]]=Sheet2!JK$21)),"")</f>
        <v/>
      </c>
      <c r="JL22" t="str" cm="1">
        <f t="array" ref="JL22">IF(JL$21&lt;&gt;"",_xlfn.UNIQUE(_xlfn._xlws.FILTER(RAW[[#All],[Room Type]],RAW[[#All],[Hotel / Resort Name ]]=Sheet2!JL$21)),"")</f>
        <v/>
      </c>
      <c r="JM22" t="str" cm="1">
        <f t="array" ref="JM22">IF(JM$21&lt;&gt;"",_xlfn.UNIQUE(_xlfn._xlws.FILTER(RAW[[#All],[Room Type]],RAW[[#All],[Hotel / Resort Name ]]=Sheet2!JM$21)),"")</f>
        <v/>
      </c>
      <c r="JN22" t="str" cm="1">
        <f t="array" ref="JN22">IF(JN$21&lt;&gt;"",_xlfn.UNIQUE(_xlfn._xlws.FILTER(RAW[[#All],[Room Type]],RAW[[#All],[Hotel / Resort Name ]]=Sheet2!JN$21)),"")</f>
        <v/>
      </c>
      <c r="JO22" t="str" cm="1">
        <f t="array" ref="JO22">IF(JO$21&lt;&gt;"",_xlfn.UNIQUE(_xlfn._xlws.FILTER(RAW[[#All],[Room Type]],RAW[[#All],[Hotel / Resort Name ]]=Sheet2!JO$21)),"")</f>
        <v/>
      </c>
      <c r="JP22" t="str" cm="1">
        <f t="array" ref="JP22">IF(JP$21&lt;&gt;"",_xlfn.UNIQUE(_xlfn._xlws.FILTER(RAW[[#All],[Room Type]],RAW[[#All],[Hotel / Resort Name ]]=Sheet2!JP$21)),"")</f>
        <v/>
      </c>
      <c r="JQ22" t="str" cm="1">
        <f t="array" ref="JQ22">IF(JQ$21&lt;&gt;"",_xlfn.UNIQUE(_xlfn._xlws.FILTER(RAW[[#All],[Room Type]],RAW[[#All],[Hotel / Resort Name ]]=Sheet2!JQ$21)),"")</f>
        <v/>
      </c>
      <c r="JR22" t="str" cm="1">
        <f t="array" ref="JR22">IF(JR$21&lt;&gt;"",_xlfn.UNIQUE(_xlfn._xlws.FILTER(RAW[[#All],[Room Type]],RAW[[#All],[Hotel / Resort Name ]]=Sheet2!JR$21)),"")</f>
        <v/>
      </c>
      <c r="JS22" t="str" cm="1">
        <f t="array" ref="JS22">IF(JS$21&lt;&gt;"",_xlfn.UNIQUE(_xlfn._xlws.FILTER(RAW[[#All],[Room Type]],RAW[[#All],[Hotel / Resort Name ]]=Sheet2!JS$21)),"")</f>
        <v/>
      </c>
      <c r="JT22" t="str" cm="1">
        <f t="array" ref="JT22">IF(JT$21&lt;&gt;"",_xlfn.UNIQUE(_xlfn._xlws.FILTER(RAW[[#All],[Room Type]],RAW[[#All],[Hotel / Resort Name ]]=Sheet2!JT$21)),"")</f>
        <v/>
      </c>
      <c r="JU22" t="str" cm="1">
        <f t="array" ref="JU22">IF(JU$21&lt;&gt;"",_xlfn.UNIQUE(_xlfn._xlws.FILTER(RAW[[#All],[Room Type]],RAW[[#All],[Hotel / Resort Name ]]=Sheet2!JU$21)),"")</f>
        <v/>
      </c>
      <c r="JV22" t="str" cm="1">
        <f t="array" ref="JV22">IF(JV$21&lt;&gt;"",_xlfn.UNIQUE(_xlfn._xlws.FILTER(RAW[[#All],[Room Type]],RAW[[#All],[Hotel / Resort Name ]]=Sheet2!JV$21)),"")</f>
        <v/>
      </c>
      <c r="JW22" t="str" cm="1">
        <f t="array" ref="JW22">IF(JW$21&lt;&gt;"",_xlfn.UNIQUE(_xlfn._xlws.FILTER(RAW[[#All],[Room Type]],RAW[[#All],[Hotel / Resort Name ]]=Sheet2!JW$21)),"")</f>
        <v/>
      </c>
      <c r="JX22" t="str" cm="1">
        <f t="array" ref="JX22">IF(JX$21&lt;&gt;"",_xlfn.UNIQUE(_xlfn._xlws.FILTER(RAW[[#All],[Room Type]],RAW[[#All],[Hotel / Resort Name ]]=Sheet2!JX$21)),"")</f>
        <v/>
      </c>
      <c r="JY22" t="str" cm="1">
        <f t="array" ref="JY22">IF(JY$21&lt;&gt;"",_xlfn.UNIQUE(_xlfn._xlws.FILTER(RAW[[#All],[Room Type]],RAW[[#All],[Hotel / Resort Name ]]=Sheet2!JY$21)),"")</f>
        <v/>
      </c>
      <c r="JZ22" t="str" cm="1">
        <f t="array" ref="JZ22">IF(JZ$21&lt;&gt;"",_xlfn.UNIQUE(_xlfn._xlws.FILTER(RAW[[#All],[Room Type]],RAW[[#All],[Hotel / Resort Name ]]=Sheet2!JZ$21)),"")</f>
        <v/>
      </c>
      <c r="KA22" t="str" cm="1">
        <f t="array" ref="KA22">IF(KA$21&lt;&gt;"",_xlfn.UNIQUE(_xlfn._xlws.FILTER(RAW[[#All],[Room Type]],RAW[[#All],[Hotel / Resort Name ]]=Sheet2!KA$21)),"")</f>
        <v/>
      </c>
      <c r="KB22" t="str" cm="1">
        <f t="array" ref="KB22">IF(KB$21&lt;&gt;"",_xlfn.UNIQUE(_xlfn._xlws.FILTER(RAW[[#All],[Room Type]],RAW[[#All],[Hotel / Resort Name ]]=Sheet2!KB$21)),"")</f>
        <v/>
      </c>
      <c r="KC22" t="str" cm="1">
        <f t="array" ref="KC22">IF(KC$21&lt;&gt;"",_xlfn.UNIQUE(_xlfn._xlws.FILTER(RAW[[#All],[Room Type]],RAW[[#All],[Hotel / Resort Name ]]=Sheet2!KC$21)),"")</f>
        <v/>
      </c>
      <c r="KD22" t="str" cm="1">
        <f t="array" ref="KD22">IF(KD$21&lt;&gt;"",_xlfn.UNIQUE(_xlfn._xlws.FILTER(RAW[[#All],[Room Type]],RAW[[#All],[Hotel / Resort Name ]]=Sheet2!KD$21)),"")</f>
        <v/>
      </c>
      <c r="KE22" t="str" cm="1">
        <f t="array" ref="KE22">IF(KE$21&lt;&gt;"",_xlfn.UNIQUE(_xlfn._xlws.FILTER(RAW[[#All],[Room Type]],RAW[[#All],[Hotel / Resort Name ]]=Sheet2!KE$21)),"")</f>
        <v/>
      </c>
      <c r="KF22" t="str" cm="1">
        <f t="array" ref="KF22">IF(KF$21&lt;&gt;"",_xlfn.UNIQUE(_xlfn._xlws.FILTER(RAW[[#All],[Room Type]],RAW[[#All],[Hotel / Resort Name ]]=Sheet2!KF$21)),"")</f>
        <v/>
      </c>
      <c r="KG22" t="str" cm="1">
        <f t="array" ref="KG22">IF(KG$21&lt;&gt;"",_xlfn.UNIQUE(_xlfn._xlws.FILTER(RAW[[#All],[Room Type]],RAW[[#All],[Hotel / Resort Name ]]=Sheet2!KG$21)),"")</f>
        <v/>
      </c>
      <c r="KH22" t="str" cm="1">
        <f t="array" ref="KH22">IF(KH$21&lt;&gt;"",_xlfn.UNIQUE(_xlfn._xlws.FILTER(RAW[[#All],[Room Type]],RAW[[#All],[Hotel / Resort Name ]]=Sheet2!KH$21)),"")</f>
        <v/>
      </c>
      <c r="KI22" t="str" cm="1">
        <f t="array" ref="KI22">IF(KI$21&lt;&gt;"",_xlfn.UNIQUE(_xlfn._xlws.FILTER(RAW[[#All],[Room Type]],RAW[[#All],[Hotel / Resort Name ]]=Sheet2!KI$21)),"")</f>
        <v/>
      </c>
      <c r="KJ22" t="str" cm="1">
        <f t="array" ref="KJ22">IF(KJ$21&lt;&gt;"",_xlfn.UNIQUE(_xlfn._xlws.FILTER(RAW[[#All],[Room Type]],RAW[[#All],[Hotel / Resort Name ]]=Sheet2!KJ$21)),"")</f>
        <v/>
      </c>
      <c r="KK22" t="str" cm="1">
        <f t="array" ref="KK22">IF(KK$21&lt;&gt;"",_xlfn.UNIQUE(_xlfn._xlws.FILTER(RAW[[#All],[Room Type]],RAW[[#All],[Hotel / Resort Name ]]=Sheet2!KK$21)),"")</f>
        <v/>
      </c>
      <c r="KL22" t="str" cm="1">
        <f t="array" ref="KL22">IF(KL$21&lt;&gt;"",_xlfn.UNIQUE(_xlfn._xlws.FILTER(RAW[[#All],[Room Type]],RAW[[#All],[Hotel / Resort Name ]]=Sheet2!KL$21)),"")</f>
        <v/>
      </c>
      <c r="KM22" t="str" cm="1">
        <f t="array" ref="KM22">IF(KM$21&lt;&gt;"",_xlfn.UNIQUE(_xlfn._xlws.FILTER(RAW[[#All],[Room Type]],RAW[[#All],[Hotel / Resort Name ]]=Sheet2!KM$21)),"")</f>
        <v/>
      </c>
      <c r="KN22" t="str" cm="1">
        <f t="array" ref="KN22">IF(KN$21&lt;&gt;"",_xlfn.UNIQUE(_xlfn._xlws.FILTER(RAW[[#All],[Room Type]],RAW[[#All],[Hotel / Resort Name ]]=Sheet2!KN$21)),"")</f>
        <v/>
      </c>
      <c r="KO22" t="str" cm="1">
        <f t="array" ref="KO22">IF(KO$21&lt;&gt;"",_xlfn.UNIQUE(_xlfn._xlws.FILTER(RAW[[#All],[Room Type]],RAW[[#All],[Hotel / Resort Name ]]=Sheet2!KO$21)),"")</f>
        <v/>
      </c>
      <c r="KP22" t="str" cm="1">
        <f t="array" ref="KP22">IF(KP$21&lt;&gt;"",_xlfn.UNIQUE(_xlfn._xlws.FILTER(RAW[[#All],[Room Type]],RAW[[#All],[Hotel / Resort Name ]]=Sheet2!KP$21)),"")</f>
        <v/>
      </c>
      <c r="KQ22" t="str" cm="1">
        <f t="array" ref="KQ22">IF(KQ$21&lt;&gt;"",_xlfn.UNIQUE(_xlfn._xlws.FILTER(RAW[[#All],[Room Type]],RAW[[#All],[Hotel / Resort Name ]]=Sheet2!KQ$21)),"")</f>
        <v/>
      </c>
      <c r="KR22" t="str" cm="1">
        <f t="array" ref="KR22">IF(KR$21&lt;&gt;"",_xlfn.UNIQUE(_xlfn._xlws.FILTER(RAW[[#All],[Room Type]],RAW[[#All],[Hotel / Resort Name ]]=Sheet2!KR$21)),"")</f>
        <v/>
      </c>
      <c r="KS22" t="str" cm="1">
        <f t="array" ref="KS22">IF(KS$21&lt;&gt;"",_xlfn.UNIQUE(_xlfn._xlws.FILTER(RAW[[#All],[Room Type]],RAW[[#All],[Hotel / Resort Name ]]=Sheet2!KS$21)),"")</f>
        <v/>
      </c>
      <c r="KT22" t="str" cm="1">
        <f t="array" ref="KT22">IF(KT$21&lt;&gt;"",_xlfn.UNIQUE(_xlfn._xlws.FILTER(RAW[[#All],[Room Type]],RAW[[#All],[Hotel / Resort Name ]]=Sheet2!KT$21)),"")</f>
        <v/>
      </c>
      <c r="KU22" t="str" cm="1">
        <f t="array" ref="KU22">IF(KU$21&lt;&gt;"",_xlfn.UNIQUE(_xlfn._xlws.FILTER(RAW[[#All],[Room Type]],RAW[[#All],[Hotel / Resort Name ]]=Sheet2!KU$21)),"")</f>
        <v/>
      </c>
      <c r="KV22" t="str" cm="1">
        <f t="array" ref="KV22">IF(KV$21&lt;&gt;"",_xlfn.UNIQUE(_xlfn._xlws.FILTER(RAW[[#All],[Room Type]],RAW[[#All],[Hotel / Resort Name ]]=Sheet2!KV$21)),"")</f>
        <v/>
      </c>
      <c r="KW22" t="str" cm="1">
        <f t="array" ref="KW22">IF(KW$21&lt;&gt;"",_xlfn.UNIQUE(_xlfn._xlws.FILTER(RAW[[#All],[Room Type]],RAW[[#All],[Hotel / Resort Name ]]=Sheet2!KW$21)),"")</f>
        <v/>
      </c>
      <c r="KX22" t="str" cm="1">
        <f t="array" ref="KX22">IF(KX$21&lt;&gt;"",_xlfn.UNIQUE(_xlfn._xlws.FILTER(RAW[[#All],[Room Type]],RAW[[#All],[Hotel / Resort Name ]]=Sheet2!KX$21)),"")</f>
        <v/>
      </c>
      <c r="KY22" t="str" cm="1">
        <f t="array" ref="KY22">IF(KY$21&lt;&gt;"",_xlfn.UNIQUE(_xlfn._xlws.FILTER(RAW[[#All],[Room Type]],RAW[[#All],[Hotel / Resort Name ]]=Sheet2!KY$21)),"")</f>
        <v/>
      </c>
      <c r="KZ22" t="str" cm="1">
        <f t="array" ref="KZ22">IF(KZ$21&lt;&gt;"",_xlfn.UNIQUE(_xlfn._xlws.FILTER(RAW[[#All],[Room Type]],RAW[[#All],[Hotel / Resort Name ]]=Sheet2!KZ$21)),"")</f>
        <v/>
      </c>
      <c r="LA22" t="str" cm="1">
        <f t="array" ref="LA22">IF(LA$21&lt;&gt;"",_xlfn.UNIQUE(_xlfn._xlws.FILTER(RAW[[#All],[Room Type]],RAW[[#All],[Hotel / Resort Name ]]=Sheet2!LA$21)),"")</f>
        <v/>
      </c>
      <c r="LB22" t="str" cm="1">
        <f t="array" ref="LB22">IF(LB$21&lt;&gt;"",_xlfn.UNIQUE(_xlfn._xlws.FILTER(RAW[[#All],[Room Type]],RAW[[#All],[Hotel / Resort Name ]]=Sheet2!LB$21)),"")</f>
        <v/>
      </c>
      <c r="LC22" t="str" cm="1">
        <f t="array" ref="LC22">IF(LC$21&lt;&gt;"",_xlfn.UNIQUE(_xlfn._xlws.FILTER(RAW[[#All],[Room Type]],RAW[[#All],[Hotel / Resort Name ]]=Sheet2!LC$21)),"")</f>
        <v/>
      </c>
      <c r="LD22" t="str" cm="1">
        <f t="array" ref="LD22">IF(LD$21&lt;&gt;"",_xlfn.UNIQUE(_xlfn._xlws.FILTER(RAW[[#All],[Room Type]],RAW[[#All],[Hotel / Resort Name ]]=Sheet2!LD$21)),"")</f>
        <v/>
      </c>
      <c r="LE22" t="str" cm="1">
        <f t="array" ref="LE22">IF(LE$21&lt;&gt;"",_xlfn.UNIQUE(_xlfn._xlws.FILTER(RAW[[#All],[Room Type]],RAW[[#All],[Hotel / Resort Name ]]=Sheet2!LE$21)),"")</f>
        <v/>
      </c>
      <c r="LF22" t="str" cm="1">
        <f t="array" ref="LF22">IF(LF$21&lt;&gt;"",_xlfn.UNIQUE(_xlfn._xlws.FILTER(RAW[[#All],[Room Type]],RAW[[#All],[Hotel / Resort Name ]]=Sheet2!LF$21)),"")</f>
        <v/>
      </c>
      <c r="LG22" t="str" cm="1">
        <f t="array" ref="LG22">IF(LG$21&lt;&gt;"",_xlfn.UNIQUE(_xlfn._xlws.FILTER(RAW[[#All],[Room Type]],RAW[[#All],[Hotel / Resort Name ]]=Sheet2!LG$21)),"")</f>
        <v/>
      </c>
      <c r="LH22" t="str" cm="1">
        <f t="array" ref="LH22">IF(LH$21&lt;&gt;"",_xlfn.UNIQUE(_xlfn._xlws.FILTER(RAW[[#All],[Room Type]],RAW[[#All],[Hotel / Resort Name ]]=Sheet2!LH$21)),"")</f>
        <v/>
      </c>
      <c r="LI22" t="str" cm="1">
        <f t="array" ref="LI22">IF(LI$21&lt;&gt;"",_xlfn.UNIQUE(_xlfn._xlws.FILTER(RAW[[#All],[Room Type]],RAW[[#All],[Hotel / Resort Name ]]=Sheet2!LI$21)),"")</f>
        <v/>
      </c>
      <c r="LJ22" t="str" cm="1">
        <f t="array" ref="LJ22">IF(LJ$21&lt;&gt;"",_xlfn.UNIQUE(_xlfn._xlws.FILTER(RAW[[#All],[Room Type]],RAW[[#All],[Hotel / Resort Name ]]=Sheet2!LJ$21)),"")</f>
        <v/>
      </c>
      <c r="LK22" t="str" cm="1">
        <f t="array" ref="LK22">IF(LK$21&lt;&gt;"",_xlfn.UNIQUE(_xlfn._xlws.FILTER(RAW[[#All],[Room Type]],RAW[[#All],[Hotel / Resort Name ]]=Sheet2!LK$21)),"")</f>
        <v/>
      </c>
      <c r="LL22" t="str" cm="1">
        <f t="array" ref="LL22">IF(LL$21&lt;&gt;"",_xlfn.UNIQUE(_xlfn._xlws.FILTER(RAW[[#All],[Room Type]],RAW[[#All],[Hotel / Resort Name ]]=Sheet2!LL$21)),"")</f>
        <v/>
      </c>
      <c r="LM22" t="str" cm="1">
        <f t="array" ref="LM22">IF(LM$21&lt;&gt;"",_xlfn.UNIQUE(_xlfn._xlws.FILTER(RAW[[#All],[Room Type]],RAW[[#All],[Hotel / Resort Name ]]=Sheet2!LM$21)),"")</f>
        <v/>
      </c>
      <c r="LN22" t="str" cm="1">
        <f t="array" ref="LN22">IF(LN$21&lt;&gt;"",_xlfn.UNIQUE(_xlfn._xlws.FILTER(RAW[[#All],[Room Type]],RAW[[#All],[Hotel / Resort Name ]]=Sheet2!LN$21)),"")</f>
        <v/>
      </c>
      <c r="LO22" t="str" cm="1">
        <f t="array" ref="LO22">IF(LO$21&lt;&gt;"",_xlfn.UNIQUE(_xlfn._xlws.FILTER(RAW[[#All],[Room Type]],RAW[[#All],[Hotel / Resort Name ]]=Sheet2!LO$21)),"")</f>
        <v/>
      </c>
      <c r="LP22" t="str" cm="1">
        <f t="array" ref="LP22">IF(LP$21&lt;&gt;"",_xlfn.UNIQUE(_xlfn._xlws.FILTER(RAW[[#All],[Room Type]],RAW[[#All],[Hotel / Resort Name ]]=Sheet2!LP$21)),"")</f>
        <v/>
      </c>
      <c r="LQ22" t="str" cm="1">
        <f t="array" ref="LQ22">IF(LQ$21&lt;&gt;"",_xlfn.UNIQUE(_xlfn._xlws.FILTER(RAW[[#All],[Room Type]],RAW[[#All],[Hotel / Resort Name ]]=Sheet2!LQ$21)),"")</f>
        <v/>
      </c>
      <c r="LR22" t="str" cm="1">
        <f t="array" ref="LR22">IF(LR$21&lt;&gt;"",_xlfn.UNIQUE(_xlfn._xlws.FILTER(RAW[[#All],[Room Type]],RAW[[#All],[Hotel / Resort Name ]]=Sheet2!LR$21)),"")</f>
        <v/>
      </c>
      <c r="LS22" t="str" cm="1">
        <f t="array" ref="LS22">IF(LS$21&lt;&gt;"",_xlfn.UNIQUE(_xlfn._xlws.FILTER(RAW[[#All],[Room Type]],RAW[[#All],[Hotel / Resort Name ]]=Sheet2!LS$21)),"")</f>
        <v/>
      </c>
      <c r="LT22" t="str" cm="1">
        <f t="array" ref="LT22">IF(LT$21&lt;&gt;"",_xlfn.UNIQUE(_xlfn._xlws.FILTER(RAW[[#All],[Room Type]],RAW[[#All],[Hotel / Resort Name ]]=Sheet2!LT$21)),"")</f>
        <v/>
      </c>
      <c r="LU22" t="str" cm="1">
        <f t="array" ref="LU22">IF(LU$21&lt;&gt;"",_xlfn.UNIQUE(_xlfn._xlws.FILTER(RAW[[#All],[Room Type]],RAW[[#All],[Hotel / Resort Name ]]=Sheet2!LU$21)),"")</f>
        <v/>
      </c>
      <c r="LV22" t="str" cm="1">
        <f t="array" ref="LV22">IF(LV$21&lt;&gt;"",_xlfn.UNIQUE(_xlfn._xlws.FILTER(RAW[[#All],[Room Type]],RAW[[#All],[Hotel / Resort Name ]]=Sheet2!LV$21)),"")</f>
        <v/>
      </c>
      <c r="LW22" t="str" cm="1">
        <f t="array" ref="LW22">IF(LW$21&lt;&gt;"",_xlfn.UNIQUE(_xlfn._xlws.FILTER(RAW[[#All],[Room Type]],RAW[[#All],[Hotel / Resort Name ]]=Sheet2!LW$21)),"")</f>
        <v/>
      </c>
      <c r="LX22" t="str" cm="1">
        <f t="array" ref="LX22">IF(LX$21&lt;&gt;"",_xlfn.UNIQUE(_xlfn._xlws.FILTER(RAW[[#All],[Room Type]],RAW[[#All],[Hotel / Resort Name ]]=Sheet2!LX$21)),"")</f>
        <v/>
      </c>
      <c r="LY22" t="str" cm="1">
        <f t="array" ref="LY22">IF(LY$21&lt;&gt;"",_xlfn.UNIQUE(_xlfn._xlws.FILTER(RAW[[#All],[Room Type]],RAW[[#All],[Hotel / Resort Name ]]=Sheet2!LY$21)),"")</f>
        <v/>
      </c>
      <c r="LZ22" t="str" cm="1">
        <f t="array" ref="LZ22">IF(LZ$21&lt;&gt;"",_xlfn.UNIQUE(_xlfn._xlws.FILTER(RAW[[#All],[Room Type]],RAW[[#All],[Hotel / Resort Name ]]=Sheet2!LZ$21)),"")</f>
        <v/>
      </c>
      <c r="MA22" t="str" cm="1">
        <f t="array" ref="MA22">IF(MA$21&lt;&gt;"",_xlfn.UNIQUE(_xlfn._xlws.FILTER(RAW[[#All],[Room Type]],RAW[[#All],[Hotel / Resort Name ]]=Sheet2!MA$21)),"")</f>
        <v/>
      </c>
      <c r="MB22" t="str" cm="1">
        <f t="array" ref="MB22">IF(MB$21&lt;&gt;"",_xlfn.UNIQUE(_xlfn._xlws.FILTER(RAW[[#All],[Room Type]],RAW[[#All],[Hotel / Resort Name ]]=Sheet2!MB$21)),"")</f>
        <v/>
      </c>
      <c r="MC22" t="str" cm="1">
        <f t="array" ref="MC22">IF(MC$21&lt;&gt;"",_xlfn.UNIQUE(_xlfn._xlws.FILTER(RAW[[#All],[Room Type]],RAW[[#All],[Hotel / Resort Name ]]=Sheet2!MC$21)),"")</f>
        <v/>
      </c>
      <c r="MD22" t="str" cm="1">
        <f t="array" ref="MD22">IF(MD$21&lt;&gt;"",_xlfn.UNIQUE(_xlfn._xlws.FILTER(RAW[[#All],[Room Type]],RAW[[#All],[Hotel / Resort Name ]]=Sheet2!MD$21)),"")</f>
        <v/>
      </c>
      <c r="ME22" t="str" cm="1">
        <f t="array" ref="ME22">IF(ME$21&lt;&gt;"",_xlfn.UNIQUE(_xlfn._xlws.FILTER(RAW[[#All],[Room Type]],RAW[[#All],[Hotel / Resort Name ]]=Sheet2!ME$21)),"")</f>
        <v/>
      </c>
      <c r="MF22" t="str" cm="1">
        <f t="array" ref="MF22">IF(MF$21&lt;&gt;"",_xlfn.UNIQUE(_xlfn._xlws.FILTER(RAW[[#All],[Room Type]],RAW[[#All],[Hotel / Resort Name ]]=Sheet2!MF$21)),"")</f>
        <v/>
      </c>
      <c r="MG22" t="str" cm="1">
        <f t="array" ref="MG22">IF(MG$21&lt;&gt;"",_xlfn.UNIQUE(_xlfn._xlws.FILTER(RAW[[#All],[Room Type]],RAW[[#All],[Hotel / Resort Name ]]=Sheet2!MG$21)),"")</f>
        <v/>
      </c>
      <c r="MH22" t="str" cm="1">
        <f t="array" ref="MH22">IF(MH$21&lt;&gt;"",_xlfn.UNIQUE(_xlfn._xlws.FILTER(RAW[[#All],[Room Type]],RAW[[#All],[Hotel / Resort Name ]]=Sheet2!MH$21)),"")</f>
        <v/>
      </c>
      <c r="MI22" t="str" cm="1">
        <f t="array" ref="MI22">IF(MI$21&lt;&gt;"",_xlfn.UNIQUE(_xlfn._xlws.FILTER(RAW[[#All],[Room Type]],RAW[[#All],[Hotel / Resort Name ]]=Sheet2!MI$21)),"")</f>
        <v/>
      </c>
      <c r="MJ22" t="str" cm="1">
        <f t="array" ref="MJ22">IF(MJ$21&lt;&gt;"",_xlfn.UNIQUE(_xlfn._xlws.FILTER(RAW[[#All],[Room Type]],RAW[[#All],[Hotel / Resort Name ]]=Sheet2!MJ$21)),"")</f>
        <v/>
      </c>
      <c r="MK22" t="str" cm="1">
        <f t="array" ref="MK22">IF(MK$21&lt;&gt;"",_xlfn.UNIQUE(_xlfn._xlws.FILTER(RAW[[#All],[Room Type]],RAW[[#All],[Hotel / Resort Name ]]=Sheet2!MK$21)),"")</f>
        <v/>
      </c>
      <c r="ML22" t="str" cm="1">
        <f t="array" ref="ML22">IF(ML$21&lt;&gt;"",_xlfn.UNIQUE(_xlfn._xlws.FILTER(RAW[[#All],[Room Type]],RAW[[#All],[Hotel / Resort Name ]]=Sheet2!ML$21)),"")</f>
        <v/>
      </c>
      <c r="MM22" t="str" cm="1">
        <f t="array" ref="MM22">IF(MM$21&lt;&gt;"",_xlfn.UNIQUE(_xlfn._xlws.FILTER(RAW[[#All],[Room Type]],RAW[[#All],[Hotel / Resort Name ]]=Sheet2!MM$21)),"")</f>
        <v/>
      </c>
      <c r="MN22" t="str" cm="1">
        <f t="array" ref="MN22">IF(MN$21&lt;&gt;"",_xlfn.UNIQUE(_xlfn._xlws.FILTER(RAW[[#All],[Room Type]],RAW[[#All],[Hotel / Resort Name ]]=Sheet2!MN$21)),"")</f>
        <v/>
      </c>
      <c r="MO22" t="str" cm="1">
        <f t="array" ref="MO22">IF(MO$21&lt;&gt;"",_xlfn.UNIQUE(_xlfn._xlws.FILTER(RAW[[#All],[Room Type]],RAW[[#All],[Hotel / Resort Name ]]=Sheet2!MO$21)),"")</f>
        <v/>
      </c>
      <c r="MP22" t="str" cm="1">
        <f t="array" ref="MP22">IF(MP$21&lt;&gt;"",_xlfn.UNIQUE(_xlfn._xlws.FILTER(RAW[[#All],[Room Type]],RAW[[#All],[Hotel / Resort Name ]]=Sheet2!MP$21)),"")</f>
        <v/>
      </c>
      <c r="MQ22" t="str" cm="1">
        <f t="array" ref="MQ22">IF(MQ$21&lt;&gt;"",_xlfn.UNIQUE(_xlfn._xlws.FILTER(RAW[[#All],[Room Type]],RAW[[#All],[Hotel / Resort Name ]]=Sheet2!MQ$21)),"")</f>
        <v/>
      </c>
      <c r="MR22" t="str" cm="1">
        <f t="array" ref="MR22">IF(MR$21&lt;&gt;"",_xlfn.UNIQUE(_xlfn._xlws.FILTER(RAW[[#All],[Room Type]],RAW[[#All],[Hotel / Resort Name ]]=Sheet2!MR$21)),"")</f>
        <v/>
      </c>
      <c r="MS22" t="str" cm="1">
        <f t="array" ref="MS22">IF(MS$21&lt;&gt;"",_xlfn.UNIQUE(_xlfn._xlws.FILTER(RAW[[#All],[Room Type]],RAW[[#All],[Hotel / Resort Name ]]=Sheet2!MS$21)),"")</f>
        <v/>
      </c>
      <c r="MT22" t="str" cm="1">
        <f t="array" ref="MT22">IF(MT$21&lt;&gt;"",_xlfn.UNIQUE(_xlfn._xlws.FILTER(RAW[[#All],[Room Type]],RAW[[#All],[Hotel / Resort Name ]]=Sheet2!MT$21)),"")</f>
        <v/>
      </c>
      <c r="MU22" t="str" cm="1">
        <f t="array" ref="MU22">IF(MU$21&lt;&gt;"",_xlfn.UNIQUE(_xlfn._xlws.FILTER(RAW[[#All],[Room Type]],RAW[[#All],[Hotel / Resort Name ]]=Sheet2!MU$21)),"")</f>
        <v/>
      </c>
      <c r="MV22" t="str" cm="1">
        <f t="array" ref="MV22">IF(MV$21&lt;&gt;"",_xlfn.UNIQUE(_xlfn._xlws.FILTER(RAW[[#All],[Room Type]],RAW[[#All],[Hotel / Resort Name ]]=Sheet2!MV$21)),"")</f>
        <v/>
      </c>
      <c r="MW22" t="str" cm="1">
        <f t="array" ref="MW22">IF(MW$21&lt;&gt;"",_xlfn.UNIQUE(_xlfn._xlws.FILTER(RAW[[#All],[Room Type]],RAW[[#All],[Hotel / Resort Name ]]=Sheet2!MW$21)),"")</f>
        <v/>
      </c>
      <c r="MX22" t="str" cm="1">
        <f t="array" ref="MX22">IF(MX$21&lt;&gt;"",_xlfn.UNIQUE(_xlfn._xlws.FILTER(RAW[[#All],[Room Type]],RAW[[#All],[Hotel / Resort Name ]]=Sheet2!MX$21)),"")</f>
        <v/>
      </c>
      <c r="MY22" t="str" cm="1">
        <f t="array" ref="MY22">IF(MY$21&lt;&gt;"",_xlfn.UNIQUE(_xlfn._xlws.FILTER(RAW[[#All],[Room Type]],RAW[[#All],[Hotel / Resort Name ]]=Sheet2!MY$21)),"")</f>
        <v/>
      </c>
      <c r="MZ22" t="str" cm="1">
        <f t="array" ref="MZ22">IF(MZ$21&lt;&gt;"",_xlfn.UNIQUE(_xlfn._xlws.FILTER(RAW[[#All],[Room Type]],RAW[[#All],[Hotel / Resort Name ]]=Sheet2!MZ$21)),"")</f>
        <v/>
      </c>
      <c r="NA22" t="str" cm="1">
        <f t="array" ref="NA22">IF(NA$21&lt;&gt;"",_xlfn.UNIQUE(_xlfn._xlws.FILTER(RAW[[#All],[Room Type]],RAW[[#All],[Hotel / Resort Name ]]=Sheet2!NA$21)),"")</f>
        <v/>
      </c>
      <c r="NB22" t="str" cm="1">
        <f t="array" ref="NB22">IF(NB$21&lt;&gt;"",_xlfn.UNIQUE(_xlfn._xlws.FILTER(RAW[[#All],[Room Type]],RAW[[#All],[Hotel / Resort Name ]]=Sheet2!NB$21)),"")</f>
        <v/>
      </c>
      <c r="NC22" t="str" cm="1">
        <f t="array" ref="NC22">IF(NC$21&lt;&gt;"",_xlfn.UNIQUE(_xlfn._xlws.FILTER(RAW[[#All],[Room Type]],RAW[[#All],[Hotel / Resort Name ]]=Sheet2!NC$21)),"")</f>
        <v/>
      </c>
      <c r="ND22" t="str" cm="1">
        <f t="array" ref="ND22">IF(ND$21&lt;&gt;"",_xlfn.UNIQUE(_xlfn._xlws.FILTER(RAW[[#All],[Room Type]],RAW[[#All],[Hotel / Resort Name ]]=Sheet2!ND$21)),"")</f>
        <v/>
      </c>
      <c r="NE22" t="str" cm="1">
        <f t="array" ref="NE22">IF(NE$21&lt;&gt;"",_xlfn.UNIQUE(_xlfn._xlws.FILTER(RAW[[#All],[Room Type]],RAW[[#All],[Hotel / Resort Name ]]=Sheet2!NE$21)),"")</f>
        <v/>
      </c>
      <c r="NF22" t="str" cm="1">
        <f t="array" ref="NF22">IF(NF$21&lt;&gt;"",_xlfn.UNIQUE(_xlfn._xlws.FILTER(RAW[[#All],[Room Type]],RAW[[#All],[Hotel / Resort Name ]]=Sheet2!NF$21)),"")</f>
        <v/>
      </c>
      <c r="NG22" t="str" cm="1">
        <f t="array" ref="NG22">IF(NG$21&lt;&gt;"",_xlfn.UNIQUE(_xlfn._xlws.FILTER(RAW[[#All],[Room Type]],RAW[[#All],[Hotel / Resort Name ]]=Sheet2!NG$21)),"")</f>
        <v/>
      </c>
      <c r="NH22" t="str" cm="1">
        <f t="array" ref="NH22">IF(NH$21&lt;&gt;"",_xlfn.UNIQUE(_xlfn._xlws.FILTER(RAW[[#All],[Room Type]],RAW[[#All],[Hotel / Resort Name ]]=Sheet2!NH$21)),"")</f>
        <v/>
      </c>
      <c r="NI22" t="str" cm="1">
        <f t="array" ref="NI22">IF(NI$21&lt;&gt;"",_xlfn.UNIQUE(_xlfn._xlws.FILTER(RAW[[#All],[Room Type]],RAW[[#All],[Hotel / Resort Name ]]=Sheet2!NI$21)),"")</f>
        <v/>
      </c>
      <c r="NJ22" t="str" cm="1">
        <f t="array" ref="NJ22">IF(NJ$21&lt;&gt;"",_xlfn.UNIQUE(_xlfn._xlws.FILTER(RAW[[#All],[Room Type]],RAW[[#All],[Hotel / Resort Name ]]=Sheet2!NJ$21)),"")</f>
        <v/>
      </c>
      <c r="NK22" t="str" cm="1">
        <f t="array" ref="NK22">IF(NK$21&lt;&gt;"",_xlfn.UNIQUE(_xlfn._xlws.FILTER(RAW[[#All],[Room Type]],RAW[[#All],[Hotel / Resort Name ]]=Sheet2!NK$21)),"")</f>
        <v/>
      </c>
      <c r="NL22" t="str" cm="1">
        <f t="array" ref="NL22">IF(NL$21&lt;&gt;"",_xlfn.UNIQUE(_xlfn._xlws.FILTER(RAW[[#All],[Room Type]],RAW[[#All],[Hotel / Resort Name ]]=Sheet2!NL$21)),"")</f>
        <v/>
      </c>
      <c r="NM22" t="str" cm="1">
        <f t="array" ref="NM22">IF(NM$21&lt;&gt;"",_xlfn.UNIQUE(_xlfn._xlws.FILTER(RAW[[#All],[Room Type]],RAW[[#All],[Hotel / Resort Name ]]=Sheet2!NM$21)),"")</f>
        <v/>
      </c>
      <c r="NN22" t="str" cm="1">
        <f t="array" ref="NN22">IF(NN$21&lt;&gt;"",_xlfn.UNIQUE(_xlfn._xlws.FILTER(RAW[[#All],[Room Type]],RAW[[#All],[Hotel / Resort Name ]]=Sheet2!NN$21)),"")</f>
        <v/>
      </c>
      <c r="NO22" t="str" cm="1">
        <f t="array" ref="NO22">IF(NO$21&lt;&gt;"",_xlfn.UNIQUE(_xlfn._xlws.FILTER(RAW[[#All],[Room Type]],RAW[[#All],[Hotel / Resort Name ]]=Sheet2!NO$21)),"")</f>
        <v/>
      </c>
      <c r="NP22" t="str" cm="1">
        <f t="array" ref="NP22">IF(NP$21&lt;&gt;"",_xlfn.UNIQUE(_xlfn._xlws.FILTER(RAW[[#All],[Room Type]],RAW[[#All],[Hotel / Resort Name ]]=Sheet2!NP$21)),"")</f>
        <v/>
      </c>
      <c r="NQ22" t="str" cm="1">
        <f t="array" ref="NQ22">IF(NQ$21&lt;&gt;"",_xlfn.UNIQUE(_xlfn._xlws.FILTER(RAW[[#All],[Room Type]],RAW[[#All],[Hotel / Resort Name ]]=Sheet2!NQ$21)),"")</f>
        <v/>
      </c>
      <c r="NR22" t="str" cm="1">
        <f t="array" ref="NR22">IF(NR$21&lt;&gt;"",_xlfn.UNIQUE(_xlfn._xlws.FILTER(RAW[[#All],[Room Type]],RAW[[#All],[Hotel / Resort Name ]]=Sheet2!NR$21)),"")</f>
        <v/>
      </c>
      <c r="NS22" t="str" cm="1">
        <f t="array" ref="NS22">IF(NS$21&lt;&gt;"",_xlfn.UNIQUE(_xlfn._xlws.FILTER(RAW[[#All],[Room Type]],RAW[[#All],[Hotel / Resort Name ]]=Sheet2!NS$21)),"")</f>
        <v/>
      </c>
      <c r="NT22" t="str" cm="1">
        <f t="array" ref="NT22">IF(NT$21&lt;&gt;"",_xlfn.UNIQUE(_xlfn._xlws.FILTER(RAW[[#All],[Room Type]],RAW[[#All],[Hotel / Resort Name ]]=Sheet2!NT$21)),"")</f>
        <v/>
      </c>
      <c r="NU22" t="str" cm="1">
        <f t="array" ref="NU22">IF(NU$21&lt;&gt;"",_xlfn.UNIQUE(_xlfn._xlws.FILTER(RAW[[#All],[Room Type]],RAW[[#All],[Hotel / Resort Name ]]=Sheet2!NU$21)),"")</f>
        <v/>
      </c>
      <c r="NV22" t="str" cm="1">
        <f t="array" ref="NV22">IF(NV$21&lt;&gt;"",_xlfn.UNIQUE(_xlfn._xlws.FILTER(RAW[[#All],[Room Type]],RAW[[#All],[Hotel / Resort Name ]]=Sheet2!NV$21)),"")</f>
        <v/>
      </c>
      <c r="NW22" t="str" cm="1">
        <f t="array" ref="NW22">IF(NW$21&lt;&gt;"",_xlfn.UNIQUE(_xlfn._xlws.FILTER(RAW[[#All],[Room Type]],RAW[[#All],[Hotel / Resort Name ]]=Sheet2!NW$21)),"")</f>
        <v/>
      </c>
      <c r="NX22" t="str" cm="1">
        <f t="array" ref="NX22">IF(NX$21&lt;&gt;"",_xlfn.UNIQUE(_xlfn._xlws.FILTER(RAW[[#All],[Room Type]],RAW[[#All],[Hotel / Resort Name ]]=Sheet2!NX$21)),"")</f>
        <v/>
      </c>
      <c r="NY22" t="str" cm="1">
        <f t="array" ref="NY22">IF(NY$21&lt;&gt;"",_xlfn.UNIQUE(_xlfn._xlws.FILTER(RAW[[#All],[Room Type]],RAW[[#All],[Hotel / Resort Name ]]=Sheet2!NY$21)),"")</f>
        <v/>
      </c>
      <c r="NZ22" t="str" cm="1">
        <f t="array" ref="NZ22">IF(NZ$21&lt;&gt;"",_xlfn.UNIQUE(_xlfn._xlws.FILTER(RAW[[#All],[Room Type]],RAW[[#All],[Hotel / Resort Name ]]=Sheet2!NZ$21)),"")</f>
        <v/>
      </c>
      <c r="OA22" t="str" cm="1">
        <f t="array" ref="OA22">IF(OA$21&lt;&gt;"",_xlfn.UNIQUE(_xlfn._xlws.FILTER(RAW[[#All],[Room Type]],RAW[[#All],[Hotel / Resort Name ]]=Sheet2!OA$21)),"")</f>
        <v/>
      </c>
      <c r="OB22" t="str" cm="1">
        <f t="array" ref="OB22">IF(OB$21&lt;&gt;"",_xlfn.UNIQUE(_xlfn._xlws.FILTER(RAW[[#All],[Room Type]],RAW[[#All],[Hotel / Resort Name ]]=Sheet2!OB$21)),"")</f>
        <v/>
      </c>
      <c r="OC22" t="str" cm="1">
        <f t="array" ref="OC22">IF(OC$21&lt;&gt;"",_xlfn.UNIQUE(_xlfn._xlws.FILTER(RAW[[#All],[Room Type]],RAW[[#All],[Hotel / Resort Name ]]=Sheet2!OC$21)),"")</f>
        <v/>
      </c>
      <c r="OD22" t="str" cm="1">
        <f t="array" ref="OD22">IF(OD$21&lt;&gt;"",_xlfn.UNIQUE(_xlfn._xlws.FILTER(RAW[[#All],[Room Type]],RAW[[#All],[Hotel / Resort Name ]]=Sheet2!OD$21)),"")</f>
        <v/>
      </c>
      <c r="OE22" t="str" cm="1">
        <f t="array" ref="OE22">IF(OE$21&lt;&gt;"",_xlfn.UNIQUE(_xlfn._xlws.FILTER(RAW[[#All],[Room Type]],RAW[[#All],[Hotel / Resort Name ]]=Sheet2!OE$21)),"")</f>
        <v/>
      </c>
      <c r="OF22" t="str" cm="1">
        <f t="array" ref="OF22">IF(OF$21&lt;&gt;"",_xlfn.UNIQUE(_xlfn._xlws.FILTER(RAW[[#All],[Room Type]],RAW[[#All],[Hotel / Resort Name ]]=Sheet2!OF$21)),"")</f>
        <v/>
      </c>
      <c r="OG22" t="str" cm="1">
        <f t="array" ref="OG22">IF(OG$21&lt;&gt;"",_xlfn.UNIQUE(_xlfn._xlws.FILTER(RAW[[#All],[Room Type]],RAW[[#All],[Hotel / Resort Name ]]=Sheet2!OG$21)),"")</f>
        <v/>
      </c>
      <c r="OH22" t="str" cm="1">
        <f t="array" ref="OH22">IF(OH$21&lt;&gt;"",_xlfn.UNIQUE(_xlfn._xlws.FILTER(RAW[[#All],[Room Type]],RAW[[#All],[Hotel / Resort Name ]]=Sheet2!OH$21)),"")</f>
        <v/>
      </c>
      <c r="OI22" t="str" cm="1">
        <f t="array" ref="OI22">IF(OI$21&lt;&gt;"",_xlfn.UNIQUE(_xlfn._xlws.FILTER(RAW[[#All],[Room Type]],RAW[[#All],[Hotel / Resort Name ]]=Sheet2!OI$21)),"")</f>
        <v/>
      </c>
      <c r="OJ22" t="str" cm="1">
        <f t="array" ref="OJ22">IF(OJ$21&lt;&gt;"",_xlfn.UNIQUE(_xlfn._xlws.FILTER(RAW[[#All],[Room Type]],RAW[[#All],[Hotel / Resort Name ]]=Sheet2!OJ$21)),"")</f>
        <v/>
      </c>
      <c r="OK22" t="str" cm="1">
        <f t="array" ref="OK22">IF(OK$21&lt;&gt;"",_xlfn.UNIQUE(_xlfn._xlws.FILTER(RAW[[#All],[Room Type]],RAW[[#All],[Hotel / Resort Name ]]=Sheet2!OK$21)),"")</f>
        <v/>
      </c>
      <c r="OL22" t="str" cm="1">
        <f t="array" ref="OL22">IF(OL$21&lt;&gt;"",_xlfn.UNIQUE(_xlfn._xlws.FILTER(RAW[[#All],[Room Type]],RAW[[#All],[Hotel / Resort Name ]]=Sheet2!OL$21)),"")</f>
        <v/>
      </c>
      <c r="OM22" t="str" cm="1">
        <f t="array" ref="OM22">IF(OM$21&lt;&gt;"",_xlfn.UNIQUE(_xlfn._xlws.FILTER(RAW[[#All],[Room Type]],RAW[[#All],[Hotel / Resort Name ]]=Sheet2!OM$21)),"")</f>
        <v/>
      </c>
      <c r="ON22" t="str" cm="1">
        <f t="array" ref="ON22">IF(ON$21&lt;&gt;"",_xlfn.UNIQUE(_xlfn._xlws.FILTER(RAW[[#All],[Room Type]],RAW[[#All],[Hotel / Resort Name ]]=Sheet2!ON$21)),"")</f>
        <v/>
      </c>
      <c r="OO22" t="str" cm="1">
        <f t="array" ref="OO22">IF(OO$21&lt;&gt;"",_xlfn.UNIQUE(_xlfn._xlws.FILTER(RAW[[#All],[Room Type]],RAW[[#All],[Hotel / Resort Name ]]=Sheet2!OO$21)),"")</f>
        <v/>
      </c>
      <c r="OP22" t="str" cm="1">
        <f t="array" ref="OP22">IF(OP$21&lt;&gt;"",_xlfn.UNIQUE(_xlfn._xlws.FILTER(RAW[[#All],[Room Type]],RAW[[#All],[Hotel / Resort Name ]]=Sheet2!OP$21)),"")</f>
        <v/>
      </c>
      <c r="OQ22" t="str" cm="1">
        <f t="array" ref="OQ22">IF(OQ$21&lt;&gt;"",_xlfn.UNIQUE(_xlfn._xlws.FILTER(RAW[[#All],[Room Type]],RAW[[#All],[Hotel / Resort Name ]]=Sheet2!OQ$21)),"")</f>
        <v/>
      </c>
      <c r="OR22" t="str" cm="1">
        <f t="array" ref="OR22">IF(OR$21&lt;&gt;"",_xlfn.UNIQUE(_xlfn._xlws.FILTER(RAW[[#All],[Room Type]],RAW[[#All],[Hotel / Resort Name ]]=Sheet2!OR$21)),"")</f>
        <v/>
      </c>
      <c r="OS22" t="str" cm="1">
        <f t="array" ref="OS22">IF(OS$21&lt;&gt;"",_xlfn.UNIQUE(_xlfn._xlws.FILTER(RAW[[#All],[Room Type]],RAW[[#All],[Hotel / Resort Name ]]=Sheet2!OS$21)),"")</f>
        <v/>
      </c>
      <c r="OT22" t="str" cm="1">
        <f t="array" ref="OT22">IF(OT$21&lt;&gt;"",_xlfn.UNIQUE(_xlfn._xlws.FILTER(RAW[[#All],[Room Type]],RAW[[#All],[Hotel / Resort Name ]]=Sheet2!OT$21)),"")</f>
        <v/>
      </c>
      <c r="OU22" t="str" cm="1">
        <f t="array" ref="OU22">IF(OU$21&lt;&gt;"",_xlfn.UNIQUE(_xlfn._xlws.FILTER(RAW[[#All],[Room Type]],RAW[[#All],[Hotel / Resort Name ]]=Sheet2!OU$21)),"")</f>
        <v/>
      </c>
      <c r="OV22" t="str" cm="1">
        <f t="array" ref="OV22">IF(OV$21&lt;&gt;"",_xlfn.UNIQUE(_xlfn._xlws.FILTER(RAW[[#All],[Room Type]],RAW[[#All],[Hotel / Resort Name ]]=Sheet2!OV$21)),"")</f>
        <v/>
      </c>
      <c r="OW22" t="str" cm="1">
        <f t="array" ref="OW22">IF(OW$21&lt;&gt;"",_xlfn.UNIQUE(_xlfn._xlws.FILTER(RAW[[#All],[Room Type]],RAW[[#All],[Hotel / Resort Name ]]=Sheet2!OW$21)),"")</f>
        <v/>
      </c>
      <c r="OX22" t="str" cm="1">
        <f t="array" ref="OX22">IF(OX$21&lt;&gt;"",_xlfn.UNIQUE(_xlfn._xlws.FILTER(RAW[[#All],[Room Type]],RAW[[#All],[Hotel / Resort Name ]]=Sheet2!OX$21)),"")</f>
        <v/>
      </c>
      <c r="OY22" t="str" cm="1">
        <f t="array" ref="OY22">IF(OY$21&lt;&gt;"",_xlfn.UNIQUE(_xlfn._xlws.FILTER(RAW[[#All],[Room Type]],RAW[[#All],[Hotel / Resort Name ]]=Sheet2!OY$21)),"")</f>
        <v/>
      </c>
      <c r="OZ22" t="str" cm="1">
        <f t="array" ref="OZ22">IF(OZ$21&lt;&gt;"",_xlfn.UNIQUE(_xlfn._xlws.FILTER(RAW[[#All],[Room Type]],RAW[[#All],[Hotel / Resort Name ]]=Sheet2!OZ$21)),"")</f>
        <v/>
      </c>
      <c r="PA22" t="str" cm="1">
        <f t="array" ref="PA22">IF(PA$21&lt;&gt;"",_xlfn.UNIQUE(_xlfn._xlws.FILTER(RAW[[#All],[Room Type]],RAW[[#All],[Hotel / Resort Name ]]=Sheet2!PA$21)),"")</f>
        <v/>
      </c>
      <c r="PB22" t="str" cm="1">
        <f t="array" ref="PB22">IF(PB$21&lt;&gt;"",_xlfn.UNIQUE(_xlfn._xlws.FILTER(RAW[[#All],[Room Type]],RAW[[#All],[Hotel / Resort Name ]]=Sheet2!PB$21)),"")</f>
        <v/>
      </c>
      <c r="PC22" t="str" cm="1">
        <f t="array" ref="PC22">IF(PC$21&lt;&gt;"",_xlfn.UNIQUE(_xlfn._xlws.FILTER(RAW[[#All],[Room Type]],RAW[[#All],[Hotel / Resort Name ]]=Sheet2!PC$21)),"")</f>
        <v/>
      </c>
      <c r="PD22" t="str" cm="1">
        <f t="array" ref="PD22">IF(PD$21&lt;&gt;"",_xlfn.UNIQUE(_xlfn._xlws.FILTER(RAW[[#All],[Room Type]],RAW[[#All],[Hotel / Resort Name ]]=Sheet2!PD$21)),"")</f>
        <v/>
      </c>
      <c r="PE22" t="str" cm="1">
        <f t="array" ref="PE22">IF(PE$21&lt;&gt;"",_xlfn.UNIQUE(_xlfn._xlws.FILTER(RAW[[#All],[Room Type]],RAW[[#All],[Hotel / Resort Name ]]=Sheet2!PE$21)),"")</f>
        <v/>
      </c>
      <c r="PF22" t="str" cm="1">
        <f t="array" ref="PF22">IF(PF$21&lt;&gt;"",_xlfn.UNIQUE(_xlfn._xlws.FILTER(RAW[[#All],[Room Type]],RAW[[#All],[Hotel / Resort Name ]]=Sheet2!PF$21)),"")</f>
        <v/>
      </c>
      <c r="PG22" t="str" cm="1">
        <f t="array" ref="PG22">IF(PG$21&lt;&gt;"",_xlfn.UNIQUE(_xlfn._xlws.FILTER(RAW[[#All],[Room Type]],RAW[[#All],[Hotel / Resort Name ]]=Sheet2!PG$21)),"")</f>
        <v/>
      </c>
      <c r="PH22" t="str" cm="1">
        <f t="array" ref="PH22">IF(PH$21&lt;&gt;"",_xlfn.UNIQUE(_xlfn._xlws.FILTER(RAW[[#All],[Room Type]],RAW[[#All],[Hotel / Resort Name ]]=Sheet2!PH$21)),"")</f>
        <v/>
      </c>
      <c r="PI22" t="str" cm="1">
        <f t="array" ref="PI22">IF(PI$21&lt;&gt;"",_xlfn.UNIQUE(_xlfn._xlws.FILTER(RAW[[#All],[Room Type]],RAW[[#All],[Hotel / Resort Name ]]=Sheet2!PI$21)),"")</f>
        <v/>
      </c>
      <c r="PJ22" t="str" cm="1">
        <f t="array" ref="PJ22">IF(PJ$21&lt;&gt;"",_xlfn.UNIQUE(_xlfn._xlws.FILTER(RAW[[#All],[Room Type]],RAW[[#All],[Hotel / Resort Name ]]=Sheet2!PJ$21)),"")</f>
        <v/>
      </c>
      <c r="PK22" t="str" cm="1">
        <f t="array" ref="PK22">IF(PK$21&lt;&gt;"",_xlfn.UNIQUE(_xlfn._xlws.FILTER(RAW[[#All],[Room Type]],RAW[[#All],[Hotel / Resort Name ]]=Sheet2!PK$21)),"")</f>
        <v/>
      </c>
      <c r="PL22" t="str" cm="1">
        <f t="array" ref="PL22">IF(PL$21&lt;&gt;"",_xlfn.UNIQUE(_xlfn._xlws.FILTER(RAW[[#All],[Room Type]],RAW[[#All],[Hotel / Resort Name ]]=Sheet2!PL$21)),"")</f>
        <v/>
      </c>
      <c r="PM22" t="str" cm="1">
        <f t="array" ref="PM22">IF(PM$21&lt;&gt;"",_xlfn.UNIQUE(_xlfn._xlws.FILTER(RAW[[#All],[Room Type]],RAW[[#All],[Hotel / Resort Name ]]=Sheet2!PM$21)),"")</f>
        <v/>
      </c>
      <c r="PN22" t="str" cm="1">
        <f t="array" ref="PN22">IF(PN$21&lt;&gt;"",_xlfn.UNIQUE(_xlfn._xlws.FILTER(RAW[[#All],[Room Type]],RAW[[#All],[Hotel / Resort Name ]]=Sheet2!PN$21)),"")</f>
        <v/>
      </c>
      <c r="PO22" t="str" cm="1">
        <f t="array" ref="PO22">IF(PO$21&lt;&gt;"",_xlfn.UNIQUE(_xlfn._xlws.FILTER(RAW[[#All],[Room Type]],RAW[[#All],[Hotel / Resort Name ]]=Sheet2!PO$21)),"")</f>
        <v/>
      </c>
      <c r="PP22" t="str" cm="1">
        <f t="array" ref="PP22">IF(PP$21&lt;&gt;"",_xlfn.UNIQUE(_xlfn._xlws.FILTER(RAW[[#All],[Room Type]],RAW[[#All],[Hotel / Resort Name ]]=Sheet2!PP$21)),"")</f>
        <v/>
      </c>
      <c r="PQ22" t="str" cm="1">
        <f t="array" ref="PQ22">IF(PQ$21&lt;&gt;"",_xlfn.UNIQUE(_xlfn._xlws.FILTER(RAW[[#All],[Room Type]],RAW[[#All],[Hotel / Resort Name ]]=Sheet2!PQ$21)),"")</f>
        <v/>
      </c>
      <c r="PR22" t="str" cm="1">
        <f t="array" ref="PR22">IF(PR$21&lt;&gt;"",_xlfn.UNIQUE(_xlfn._xlws.FILTER(RAW[[#All],[Room Type]],RAW[[#All],[Hotel / Resort Name ]]=Sheet2!PR$21)),"")</f>
        <v/>
      </c>
      <c r="PS22" t="str" cm="1">
        <f t="array" ref="PS22">IF(PS$21&lt;&gt;"",_xlfn.UNIQUE(_xlfn._xlws.FILTER(RAW[[#All],[Room Type]],RAW[[#All],[Hotel / Resort Name ]]=Sheet2!PS$21)),"")</f>
        <v/>
      </c>
      <c r="PT22" t="str" cm="1">
        <f t="array" ref="PT22">IF(PT$21&lt;&gt;"",_xlfn.UNIQUE(_xlfn._xlws.FILTER(RAW[[#All],[Room Type]],RAW[[#All],[Hotel / Resort Name ]]=Sheet2!PT$21)),"")</f>
        <v/>
      </c>
      <c r="PU22" t="str" cm="1">
        <f t="array" ref="PU22">IF(PU$21&lt;&gt;"",_xlfn.UNIQUE(_xlfn._xlws.FILTER(RAW[[#All],[Room Type]],RAW[[#All],[Hotel / Resort Name ]]=Sheet2!PU$21)),"")</f>
        <v/>
      </c>
      <c r="PV22" t="str" cm="1">
        <f t="array" ref="PV22">IF(PV$21&lt;&gt;"",_xlfn.UNIQUE(_xlfn._xlws.FILTER(RAW[[#All],[Room Type]],RAW[[#All],[Hotel / Resort Name ]]=Sheet2!PV$21)),"")</f>
        <v/>
      </c>
      <c r="PW22" t="str" cm="1">
        <f t="array" ref="PW22">IF(PW$21&lt;&gt;"",_xlfn.UNIQUE(_xlfn._xlws.FILTER(RAW[[#All],[Room Type]],RAW[[#All],[Hotel / Resort Name ]]=Sheet2!PW$21)),"")</f>
        <v/>
      </c>
      <c r="PX22" t="str" cm="1">
        <f t="array" ref="PX22">IF(PX$21&lt;&gt;"",_xlfn.UNIQUE(_xlfn._xlws.FILTER(RAW[[#All],[Room Type]],RAW[[#All],[Hotel / Resort Name ]]=Sheet2!PX$21)),"")</f>
        <v/>
      </c>
      <c r="PY22" t="str" cm="1">
        <f t="array" ref="PY22">IF(PY$21&lt;&gt;"",_xlfn.UNIQUE(_xlfn._xlws.FILTER(RAW[[#All],[Room Type]],RAW[[#All],[Hotel / Resort Name ]]=Sheet2!PY$21)),"")</f>
        <v/>
      </c>
      <c r="PZ22" t="str" cm="1">
        <f t="array" ref="PZ22">IF(PZ$21&lt;&gt;"",_xlfn.UNIQUE(_xlfn._xlws.FILTER(RAW[[#All],[Room Type]],RAW[[#All],[Hotel / Resort Name ]]=Sheet2!PZ$21)),"")</f>
        <v/>
      </c>
      <c r="QA22" t="str" cm="1">
        <f t="array" ref="QA22">IF(QA$21&lt;&gt;"",_xlfn.UNIQUE(_xlfn._xlws.FILTER(RAW[[#All],[Room Type]],RAW[[#All],[Hotel / Resort Name ]]=Sheet2!QA$21)),"")</f>
        <v/>
      </c>
      <c r="QB22" t="str" cm="1">
        <f t="array" ref="QB22">IF(QB$21&lt;&gt;"",_xlfn.UNIQUE(_xlfn._xlws.FILTER(RAW[[#All],[Room Type]],RAW[[#All],[Hotel / Resort Name ]]=Sheet2!QB$21)),"")</f>
        <v/>
      </c>
      <c r="QC22" t="str" cm="1">
        <f t="array" ref="QC22">IF(QC$21&lt;&gt;"",_xlfn.UNIQUE(_xlfn._xlws.FILTER(RAW[[#All],[Room Type]],RAW[[#All],[Hotel / Resort Name ]]=Sheet2!QC$21)),"")</f>
        <v/>
      </c>
      <c r="QD22" t="str" cm="1">
        <f t="array" ref="QD22">IF(QD$21&lt;&gt;"",_xlfn.UNIQUE(_xlfn._xlws.FILTER(RAW[[#All],[Room Type]],RAW[[#All],[Hotel / Resort Name ]]=Sheet2!QD$21)),"")</f>
        <v/>
      </c>
      <c r="QE22" t="str" cm="1">
        <f t="array" ref="QE22">IF(QE$21&lt;&gt;"",_xlfn.UNIQUE(_xlfn._xlws.FILTER(RAW[[#All],[Room Type]],RAW[[#All],[Hotel / Resort Name ]]=Sheet2!QE$21)),"")</f>
        <v/>
      </c>
      <c r="QF22" t="str" cm="1">
        <f t="array" ref="QF22">IF(QF$21&lt;&gt;"",_xlfn.UNIQUE(_xlfn._xlws.FILTER(RAW[[#All],[Room Type]],RAW[[#All],[Hotel / Resort Name ]]=Sheet2!QF$21)),"")</f>
        <v/>
      </c>
      <c r="QG22" t="str" cm="1">
        <f t="array" ref="QG22">IF(QG$21&lt;&gt;"",_xlfn.UNIQUE(_xlfn._xlws.FILTER(RAW[[#All],[Room Type]],RAW[[#All],[Hotel / Resort Name ]]=Sheet2!QG$21)),"")</f>
        <v/>
      </c>
      <c r="QH22" t="str" cm="1">
        <f t="array" ref="QH22">IF(QH$21&lt;&gt;"",_xlfn.UNIQUE(_xlfn._xlws.FILTER(RAW[[#All],[Room Type]],RAW[[#All],[Hotel / Resort Name ]]=Sheet2!QH$21)),"")</f>
        <v/>
      </c>
      <c r="QI22" t="str" cm="1">
        <f t="array" ref="QI22">IF(QI$21&lt;&gt;"",_xlfn.UNIQUE(_xlfn._xlws.FILTER(RAW[[#All],[Room Type]],RAW[[#All],[Hotel / Resort Name ]]=Sheet2!QI$21)),"")</f>
        <v/>
      </c>
      <c r="QJ22" t="str" cm="1">
        <f t="array" ref="QJ22">IF(QJ$21&lt;&gt;"",_xlfn.UNIQUE(_xlfn._xlws.FILTER(RAW[[#All],[Room Type]],RAW[[#All],[Hotel / Resort Name ]]=Sheet2!QJ$21)),"")</f>
        <v/>
      </c>
      <c r="QK22" t="str" cm="1">
        <f t="array" ref="QK22">IF(QK$21&lt;&gt;"",_xlfn.UNIQUE(_xlfn._xlws.FILTER(RAW[[#All],[Room Type]],RAW[[#All],[Hotel / Resort Name ]]=Sheet2!QK$21)),"")</f>
        <v/>
      </c>
      <c r="QL22" t="str" cm="1">
        <f t="array" ref="QL22">IF(QL$21&lt;&gt;"",_xlfn.UNIQUE(_xlfn._xlws.FILTER(RAW[[#All],[Room Type]],RAW[[#All],[Hotel / Resort Name ]]=Sheet2!QL$21)),"")</f>
        <v/>
      </c>
      <c r="QM22" t="str" cm="1">
        <f t="array" ref="QM22">IF(QM$21&lt;&gt;"",_xlfn.UNIQUE(_xlfn._xlws.FILTER(RAW[[#All],[Room Type]],RAW[[#All],[Hotel / Resort Name ]]=Sheet2!QM$21)),"")</f>
        <v/>
      </c>
      <c r="QN22" t="str" cm="1">
        <f t="array" ref="QN22">IF(QN$21&lt;&gt;"",_xlfn.UNIQUE(_xlfn._xlws.FILTER(RAW[[#All],[Room Type]],RAW[[#All],[Hotel / Resort Name ]]=Sheet2!QN$21)),"")</f>
        <v/>
      </c>
      <c r="QO22" t="str" cm="1">
        <f t="array" ref="QO22">IF(QO$21&lt;&gt;"",_xlfn.UNIQUE(_xlfn._xlws.FILTER(RAW[[#All],[Room Type]],RAW[[#All],[Hotel / Resort Name ]]=Sheet2!QO$21)),"")</f>
        <v/>
      </c>
      <c r="QP22" t="str" cm="1">
        <f t="array" ref="QP22">IF(QP$21&lt;&gt;"",_xlfn.UNIQUE(_xlfn._xlws.FILTER(RAW[[#All],[Room Type]],RAW[[#All],[Hotel / Resort Name ]]=Sheet2!QP$21)),"")</f>
        <v/>
      </c>
      <c r="QQ22" t="str" cm="1">
        <f t="array" ref="QQ22">IF(QQ$21&lt;&gt;"",_xlfn.UNIQUE(_xlfn._xlws.FILTER(RAW[[#All],[Room Type]],RAW[[#All],[Hotel / Resort Name ]]=Sheet2!QQ$21)),"")</f>
        <v/>
      </c>
      <c r="QR22" t="str" cm="1">
        <f t="array" ref="QR22">IF(QR$21&lt;&gt;"",_xlfn.UNIQUE(_xlfn._xlws.FILTER(RAW[[#All],[Room Type]],RAW[[#All],[Hotel / Resort Name ]]=Sheet2!QR$21)),"")</f>
        <v/>
      </c>
      <c r="QS22" t="str" cm="1">
        <f t="array" ref="QS22">IF(QS$21&lt;&gt;"",_xlfn.UNIQUE(_xlfn._xlws.FILTER(RAW[[#All],[Room Type]],RAW[[#All],[Hotel / Resort Name ]]=Sheet2!QS$21)),"")</f>
        <v/>
      </c>
      <c r="QT22" t="str" cm="1">
        <f t="array" ref="QT22">IF(QT$21&lt;&gt;"",_xlfn.UNIQUE(_xlfn._xlws.FILTER(RAW[[#All],[Room Type]],RAW[[#All],[Hotel / Resort Name ]]=Sheet2!QT$21)),"")</f>
        <v/>
      </c>
      <c r="QU22" t="str" cm="1">
        <f t="array" ref="QU22">IF(QU$21&lt;&gt;"",_xlfn.UNIQUE(_xlfn._xlws.FILTER(RAW[[#All],[Room Type]],RAW[[#All],[Hotel / Resort Name ]]=Sheet2!QU$21)),"")</f>
        <v/>
      </c>
      <c r="QV22" t="str" cm="1">
        <f t="array" ref="QV22">IF(QV$21&lt;&gt;"",_xlfn.UNIQUE(_xlfn._xlws.FILTER(RAW[[#All],[Room Type]],RAW[[#All],[Hotel / Resort Name ]]=Sheet2!QV$21)),"")</f>
        <v/>
      </c>
      <c r="QW22" t="str" cm="1">
        <f t="array" ref="QW22">IF(QW$21&lt;&gt;"",_xlfn.UNIQUE(_xlfn._xlws.FILTER(RAW[[#All],[Room Type]],RAW[[#All],[Hotel / Resort Name ]]=Sheet2!QW$21)),"")</f>
        <v/>
      </c>
      <c r="QX22" t="str" cm="1">
        <f t="array" ref="QX22">IF(QX$21&lt;&gt;"",_xlfn.UNIQUE(_xlfn._xlws.FILTER(RAW[[#All],[Room Type]],RAW[[#All],[Hotel / Resort Name ]]=Sheet2!QX$21)),"")</f>
        <v/>
      </c>
      <c r="QY22" t="str" cm="1">
        <f t="array" ref="QY22">IF(QY$21&lt;&gt;"",_xlfn.UNIQUE(_xlfn._xlws.FILTER(RAW[[#All],[Room Type]],RAW[[#All],[Hotel / Resort Name ]]=Sheet2!QY$21)),"")</f>
        <v/>
      </c>
      <c r="QZ22" t="str" cm="1">
        <f t="array" ref="QZ22">IF(QZ$21&lt;&gt;"",_xlfn.UNIQUE(_xlfn._xlws.FILTER(RAW[[#All],[Room Type]],RAW[[#All],[Hotel / Resort Name ]]=Sheet2!QZ$21)),"")</f>
        <v/>
      </c>
      <c r="RA22" t="str" cm="1">
        <f t="array" ref="RA22">IF(RA$21&lt;&gt;"",_xlfn.UNIQUE(_xlfn._xlws.FILTER(RAW[[#All],[Room Type]],RAW[[#All],[Hotel / Resort Name ]]=Sheet2!RA$21)),"")</f>
        <v/>
      </c>
      <c r="RB22" t="str" cm="1">
        <f t="array" ref="RB22">IF(RB$21&lt;&gt;"",_xlfn.UNIQUE(_xlfn._xlws.FILTER(RAW[[#All],[Room Type]],RAW[[#All],[Hotel / Resort Name ]]=Sheet2!RB$21)),"")</f>
        <v/>
      </c>
      <c r="RC22" t="str" cm="1">
        <f t="array" ref="RC22">IF(RC$21&lt;&gt;"",_xlfn.UNIQUE(_xlfn._xlws.FILTER(RAW[[#All],[Room Type]],RAW[[#All],[Hotel / Resort Name ]]=Sheet2!RC$21)),"")</f>
        <v/>
      </c>
      <c r="RD22" t="str" cm="1">
        <f t="array" ref="RD22">IF(RD$21&lt;&gt;"",_xlfn.UNIQUE(_xlfn._xlws.FILTER(RAW[[#All],[Room Type]],RAW[[#All],[Hotel / Resort Name ]]=Sheet2!RD$21)),"")</f>
        <v/>
      </c>
      <c r="RE22" t="str" cm="1">
        <f t="array" ref="RE22">IF(RE$21&lt;&gt;"",_xlfn.UNIQUE(_xlfn._xlws.FILTER(RAW[[#All],[Room Type]],RAW[[#All],[Hotel / Resort Name ]]=Sheet2!RE$21)),"")</f>
        <v/>
      </c>
      <c r="RF22" t="str" cm="1">
        <f t="array" ref="RF22">IF(RF$21&lt;&gt;"",_xlfn.UNIQUE(_xlfn._xlws.FILTER(RAW[[#All],[Room Type]],RAW[[#All],[Hotel / Resort Name ]]=Sheet2!RF$21)),"")</f>
        <v/>
      </c>
      <c r="RG22" t="str" cm="1">
        <f t="array" ref="RG22">IF(RG$21&lt;&gt;"",_xlfn.UNIQUE(_xlfn._xlws.FILTER(RAW[[#All],[Room Type]],RAW[[#All],[Hotel / Resort Name ]]=Sheet2!RG$21)),"")</f>
        <v/>
      </c>
      <c r="RH22" t="str" cm="1">
        <f t="array" ref="RH22">IF(RH$21&lt;&gt;"",_xlfn.UNIQUE(_xlfn._xlws.FILTER(RAW[[#All],[Room Type]],RAW[[#All],[Hotel / Resort Name ]]=Sheet2!RH$21)),"")</f>
        <v/>
      </c>
      <c r="RI22" t="str" cm="1">
        <f t="array" ref="RI22">IF(RI$21&lt;&gt;"",_xlfn.UNIQUE(_xlfn._xlws.FILTER(RAW[[#All],[Room Type]],RAW[[#All],[Hotel / Resort Name ]]=Sheet2!RI$21)),"")</f>
        <v/>
      </c>
      <c r="RJ22" t="str" cm="1">
        <f t="array" ref="RJ22">IF(RJ$21&lt;&gt;"",_xlfn.UNIQUE(_xlfn._xlws.FILTER(RAW[[#All],[Room Type]],RAW[[#All],[Hotel / Resort Name ]]=Sheet2!RJ$21)),"")</f>
        <v/>
      </c>
      <c r="RK22" t="str" cm="1">
        <f t="array" ref="RK22">IF(RK$21&lt;&gt;"",_xlfn.UNIQUE(_xlfn._xlws.FILTER(RAW[[#All],[Room Type]],RAW[[#All],[Hotel / Resort Name ]]=Sheet2!RK$21)),"")</f>
        <v/>
      </c>
      <c r="RL22" t="str" cm="1">
        <f t="array" ref="RL22">IF(RL$21&lt;&gt;"",_xlfn.UNIQUE(_xlfn._xlws.FILTER(RAW[[#All],[Room Type]],RAW[[#All],[Hotel / Resort Name ]]=Sheet2!RL$21)),"")</f>
        <v/>
      </c>
      <c r="RM22" t="str" cm="1">
        <f t="array" ref="RM22">IF(RM$21&lt;&gt;"",_xlfn.UNIQUE(_xlfn._xlws.FILTER(RAW[[#All],[Room Type]],RAW[[#All],[Hotel / Resort Name ]]=Sheet2!RM$21)),"")</f>
        <v/>
      </c>
      <c r="RN22" t="str" cm="1">
        <f t="array" ref="RN22">IF(RN$21&lt;&gt;"",_xlfn.UNIQUE(_xlfn._xlws.FILTER(RAW[[#All],[Room Type]],RAW[[#All],[Hotel / Resort Name ]]=Sheet2!RN$21)),"")</f>
        <v/>
      </c>
      <c r="RO22" t="str" cm="1">
        <f t="array" ref="RO22">IF(RO$21&lt;&gt;"",_xlfn.UNIQUE(_xlfn._xlws.FILTER(RAW[[#All],[Room Type]],RAW[[#All],[Hotel / Resort Name ]]=Sheet2!RO$21)),"")</f>
        <v/>
      </c>
      <c r="RP22" t="str" cm="1">
        <f t="array" ref="RP22">IF(RP$21&lt;&gt;"",_xlfn.UNIQUE(_xlfn._xlws.FILTER(RAW[[#All],[Room Type]],RAW[[#All],[Hotel / Resort Name ]]=Sheet2!RP$21)),"")</f>
        <v/>
      </c>
      <c r="RQ22" t="str" cm="1">
        <f t="array" ref="RQ22">IF(RQ$21&lt;&gt;"",_xlfn.UNIQUE(_xlfn._xlws.FILTER(RAW[[#All],[Room Type]],RAW[[#All],[Hotel / Resort Name ]]=Sheet2!RQ$21)),"")</f>
        <v/>
      </c>
      <c r="RR22" t="str" cm="1">
        <f t="array" ref="RR22">IF(RR$21&lt;&gt;"",_xlfn.UNIQUE(_xlfn._xlws.FILTER(RAW[[#All],[Room Type]],RAW[[#All],[Hotel / Resort Name ]]=Sheet2!RR$21)),"")</f>
        <v/>
      </c>
      <c r="RS22" t="str" cm="1">
        <f t="array" ref="RS22">IF(RS$21&lt;&gt;"",_xlfn.UNIQUE(_xlfn._xlws.FILTER(RAW[[#All],[Room Type]],RAW[[#All],[Hotel / Resort Name ]]=Sheet2!RS$21)),"")</f>
        <v/>
      </c>
      <c r="RT22" t="str" cm="1">
        <f t="array" ref="RT22">IF(RT$21&lt;&gt;"",_xlfn.UNIQUE(_xlfn._xlws.FILTER(RAW[[#All],[Room Type]],RAW[[#All],[Hotel / Resort Name ]]=Sheet2!RT$21)),"")</f>
        <v/>
      </c>
      <c r="RU22" t="str" cm="1">
        <f t="array" ref="RU22">IF(RU$21&lt;&gt;"",_xlfn.UNIQUE(_xlfn._xlws.FILTER(RAW[[#All],[Room Type]],RAW[[#All],[Hotel / Resort Name ]]=Sheet2!RU$21)),"")</f>
        <v/>
      </c>
      <c r="RV22" t="str" cm="1">
        <f t="array" ref="RV22">IF(RV$21&lt;&gt;"",_xlfn.UNIQUE(_xlfn._xlws.FILTER(RAW[[#All],[Room Type]],RAW[[#All],[Hotel / Resort Name ]]=Sheet2!RV$21)),"")</f>
        <v/>
      </c>
      <c r="RW22" t="str" cm="1">
        <f t="array" ref="RW22">IF(RW$21&lt;&gt;"",_xlfn.UNIQUE(_xlfn._xlws.FILTER(RAW[[#All],[Room Type]],RAW[[#All],[Hotel / Resort Name ]]=Sheet2!RW$21)),"")</f>
        <v/>
      </c>
      <c r="RX22" t="str" cm="1">
        <f t="array" ref="RX22">IF(RX$21&lt;&gt;"",_xlfn.UNIQUE(_xlfn._xlws.FILTER(RAW[[#All],[Room Type]],RAW[[#All],[Hotel / Resort Name ]]=Sheet2!RX$21)),"")</f>
        <v/>
      </c>
      <c r="RY22" t="str" cm="1">
        <f t="array" ref="RY22">IF(RY$21&lt;&gt;"",_xlfn.UNIQUE(_xlfn._xlws.FILTER(RAW[[#All],[Room Type]],RAW[[#All],[Hotel / Resort Name ]]=Sheet2!RY$21)),"")</f>
        <v/>
      </c>
      <c r="RZ22" t="str" cm="1">
        <f t="array" ref="RZ22">IF(RZ$21&lt;&gt;"",_xlfn.UNIQUE(_xlfn._xlws.FILTER(RAW[[#All],[Room Type]],RAW[[#All],[Hotel / Resort Name ]]=Sheet2!RZ$21)),"")</f>
        <v/>
      </c>
      <c r="SA22" t="str" cm="1">
        <f t="array" ref="SA22">IF(SA$21&lt;&gt;"",_xlfn.UNIQUE(_xlfn._xlws.FILTER(RAW[[#All],[Room Type]],RAW[[#All],[Hotel / Resort Name ]]=Sheet2!SA$21)),"")</f>
        <v/>
      </c>
      <c r="SB22" t="str" cm="1">
        <f t="array" ref="SB22">IF(SB$21&lt;&gt;"",_xlfn.UNIQUE(_xlfn._xlws.FILTER(RAW[[#All],[Room Type]],RAW[[#All],[Hotel / Resort Name ]]=Sheet2!SB$21)),"")</f>
        <v/>
      </c>
      <c r="SC22" t="str" cm="1">
        <f t="array" ref="SC22">IF(SC$21&lt;&gt;"",_xlfn.UNIQUE(_xlfn._xlws.FILTER(RAW[[#All],[Room Type]],RAW[[#All],[Hotel / Resort Name ]]=Sheet2!SC$21)),"")</f>
        <v/>
      </c>
      <c r="SD22" t="str" cm="1">
        <f t="array" ref="SD22">IF(SD$21&lt;&gt;"",_xlfn.UNIQUE(_xlfn._xlws.FILTER(RAW[[#All],[Room Type]],RAW[[#All],[Hotel / Resort Name ]]=Sheet2!SD$21)),"")</f>
        <v/>
      </c>
      <c r="SE22" t="str" cm="1">
        <f t="array" ref="SE22">IF(SE$21&lt;&gt;"",_xlfn.UNIQUE(_xlfn._xlws.FILTER(RAW[[#All],[Room Type]],RAW[[#All],[Hotel / Resort Name ]]=Sheet2!SE$21)),"")</f>
        <v/>
      </c>
      <c r="SF22" t="str" cm="1">
        <f t="array" ref="SF22">IF(SF$21&lt;&gt;"",_xlfn.UNIQUE(_xlfn._xlws.FILTER(RAW[[#All],[Room Type]],RAW[[#All],[Hotel / Resort Name ]]=Sheet2!SF$21)),"")</f>
        <v/>
      </c>
      <c r="SG22" t="str" cm="1">
        <f t="array" ref="SG22">IF(SG$21&lt;&gt;"",_xlfn.UNIQUE(_xlfn._xlws.FILTER(RAW[[#All],[Room Type]],RAW[[#All],[Hotel / Resort Name ]]=Sheet2!SG$21)),"")</f>
        <v/>
      </c>
      <c r="SH22" t="str" cm="1">
        <f t="array" ref="SH22">IF(SH$21&lt;&gt;"",_xlfn.UNIQUE(_xlfn._xlws.FILTER(RAW[[#All],[Room Type]],RAW[[#All],[Hotel / Resort Name ]]=Sheet2!SH$21)),"")</f>
        <v/>
      </c>
      <c r="SI22" t="str" cm="1">
        <f t="array" ref="SI22">IF(SI$21&lt;&gt;"",_xlfn.UNIQUE(_xlfn._xlws.FILTER(RAW[[#All],[Room Type]],RAW[[#All],[Hotel / Resort Name ]]=Sheet2!SI$21)),"")</f>
        <v/>
      </c>
      <c r="SJ22" t="str" cm="1">
        <f t="array" ref="SJ22">IF(SJ$21&lt;&gt;"",_xlfn.UNIQUE(_xlfn._xlws.FILTER(RAW[[#All],[Room Type]],RAW[[#All],[Hotel / Resort Name ]]=Sheet2!SJ$21)),"")</f>
        <v/>
      </c>
      <c r="SK22" t="str" cm="1">
        <f t="array" ref="SK22">IF(SK$21&lt;&gt;"",_xlfn.UNIQUE(_xlfn._xlws.FILTER(RAW[[#All],[Room Type]],RAW[[#All],[Hotel / Resort Name ]]=Sheet2!SK$21)),"")</f>
        <v/>
      </c>
      <c r="SL22" t="str" cm="1">
        <f t="array" ref="SL22">IF(SL$21&lt;&gt;"",_xlfn.UNIQUE(_xlfn._xlws.FILTER(RAW[[#All],[Room Type]],RAW[[#All],[Hotel / Resort Name ]]=Sheet2!SL$21)),"")</f>
        <v/>
      </c>
      <c r="SM22" t="str" cm="1">
        <f t="array" ref="SM22">IF(SM$21&lt;&gt;"",_xlfn.UNIQUE(_xlfn._xlws.FILTER(RAW[[#All],[Room Type]],RAW[[#All],[Hotel / Resort Name ]]=Sheet2!SM$21)),"")</f>
        <v/>
      </c>
      <c r="SN22" t="str" cm="1">
        <f t="array" ref="SN22">IF(SN$21&lt;&gt;"",_xlfn.UNIQUE(_xlfn._xlws.FILTER(RAW[[#All],[Room Type]],RAW[[#All],[Hotel / Resort Name ]]=Sheet2!SN$21)),"")</f>
        <v/>
      </c>
      <c r="SO22" t="str" cm="1">
        <f t="array" ref="SO22">IF(SO$21&lt;&gt;"",_xlfn.UNIQUE(_xlfn._xlws.FILTER(RAW[[#All],[Room Type]],RAW[[#All],[Hotel / Resort Name ]]=Sheet2!SO$21)),"")</f>
        <v/>
      </c>
      <c r="SP22" t="str" cm="1">
        <f t="array" ref="SP22">IF(SP$21&lt;&gt;"",_xlfn.UNIQUE(_xlfn._xlws.FILTER(RAW[[#All],[Room Type]],RAW[[#All],[Hotel / Resort Name ]]=Sheet2!SP$21)),"")</f>
        <v/>
      </c>
      <c r="SQ22" t="str" cm="1">
        <f t="array" ref="SQ22">IF(SQ$21&lt;&gt;"",_xlfn.UNIQUE(_xlfn._xlws.FILTER(RAW[[#All],[Room Type]],RAW[[#All],[Hotel / Resort Name ]]=Sheet2!SQ$21)),"")</f>
        <v/>
      </c>
      <c r="SR22" t="str" cm="1">
        <f t="array" ref="SR22">IF(SR$21&lt;&gt;"",_xlfn.UNIQUE(_xlfn._xlws.FILTER(RAW[[#All],[Room Type]],RAW[[#All],[Hotel / Resort Name ]]=Sheet2!SR$21)),"")</f>
        <v/>
      </c>
      <c r="SS22" t="str" cm="1">
        <f t="array" ref="SS22">IF(SS$21&lt;&gt;"",_xlfn.UNIQUE(_xlfn._xlws.FILTER(RAW[[#All],[Room Type]],RAW[[#All],[Hotel / Resort Name ]]=Sheet2!SS$21)),"")</f>
        <v/>
      </c>
      <c r="ST22" t="str" cm="1">
        <f t="array" ref="ST22">IF(ST$21&lt;&gt;"",_xlfn.UNIQUE(_xlfn._xlws.FILTER(RAW[[#All],[Room Type]],RAW[[#All],[Hotel / Resort Name ]]=Sheet2!ST$21)),"")</f>
        <v/>
      </c>
      <c r="SU22" t="str" cm="1">
        <f t="array" ref="SU22">IF(SU$21&lt;&gt;"",_xlfn.UNIQUE(_xlfn._xlws.FILTER(RAW[[#All],[Room Type]],RAW[[#All],[Hotel / Resort Name ]]=Sheet2!SU$21)),"")</f>
        <v/>
      </c>
      <c r="SV22" t="str" cm="1">
        <f t="array" ref="SV22">IF(SV$21&lt;&gt;"",_xlfn.UNIQUE(_xlfn._xlws.FILTER(RAW[[#All],[Room Type]],RAW[[#All],[Hotel / Resort Name ]]=Sheet2!SV$21)),"")</f>
        <v/>
      </c>
      <c r="SW22" t="str" cm="1">
        <f t="array" ref="SW22">IF(SW$21&lt;&gt;"",_xlfn.UNIQUE(_xlfn._xlws.FILTER(RAW[[#All],[Room Type]],RAW[[#All],[Hotel / Resort Name ]]=Sheet2!SW$21)),"")</f>
        <v/>
      </c>
      <c r="SX22" t="str" cm="1">
        <f t="array" ref="SX22">IF(SX$21&lt;&gt;"",_xlfn.UNIQUE(_xlfn._xlws.FILTER(RAW[[#All],[Room Type]],RAW[[#All],[Hotel / Resort Name ]]=Sheet2!SX$21)),"")</f>
        <v/>
      </c>
      <c r="SY22" t="str" cm="1">
        <f t="array" ref="SY22">IF(SY$21&lt;&gt;"",_xlfn.UNIQUE(_xlfn._xlws.FILTER(RAW[[#All],[Room Type]],RAW[[#All],[Hotel / Resort Name ]]=Sheet2!SY$21)),"")</f>
        <v/>
      </c>
      <c r="SZ22" t="str" cm="1">
        <f t="array" ref="SZ22">IF(SZ$21&lt;&gt;"",_xlfn.UNIQUE(_xlfn._xlws.FILTER(RAW[[#All],[Room Type]],RAW[[#All],[Hotel / Resort Name ]]=Sheet2!SZ$21)),"")</f>
        <v/>
      </c>
      <c r="TA22" t="str" cm="1">
        <f t="array" ref="TA22">IF(TA$21&lt;&gt;"",_xlfn.UNIQUE(_xlfn._xlws.FILTER(RAW[[#All],[Room Type]],RAW[[#All],[Hotel / Resort Name ]]=Sheet2!TA$21)),"")</f>
        <v/>
      </c>
      <c r="TB22" t="str" cm="1">
        <f t="array" ref="TB22">IF(TB$21&lt;&gt;"",_xlfn.UNIQUE(_xlfn._xlws.FILTER(RAW[[#All],[Room Type]],RAW[[#All],[Hotel / Resort Name ]]=Sheet2!TB$21)),"")</f>
        <v/>
      </c>
      <c r="TC22" t="str" cm="1">
        <f t="array" ref="TC22">IF(TC$21&lt;&gt;"",_xlfn.UNIQUE(_xlfn._xlws.FILTER(RAW[[#All],[Room Type]],RAW[[#All],[Hotel / Resort Name ]]=Sheet2!TC$21)),"")</f>
        <v/>
      </c>
      <c r="TD22" t="str" cm="1">
        <f t="array" ref="TD22">IF(TD$21&lt;&gt;"",_xlfn.UNIQUE(_xlfn._xlws.FILTER(RAW[[#All],[Room Type]],RAW[[#All],[Hotel / Resort Name ]]=Sheet2!TD$21)),"")</f>
        <v/>
      </c>
      <c r="TE22" t="str" cm="1">
        <f t="array" ref="TE22">IF(TE$21&lt;&gt;"",_xlfn.UNIQUE(_xlfn._xlws.FILTER(RAW[[#All],[Room Type]],RAW[[#All],[Hotel / Resort Name ]]=Sheet2!TE$21)),"")</f>
        <v/>
      </c>
      <c r="TF22" t="str" cm="1">
        <f t="array" ref="TF22">IF(TF$21&lt;&gt;"",_xlfn.UNIQUE(_xlfn._xlws.FILTER(RAW[[#All],[Room Type]],RAW[[#All],[Hotel / Resort Name ]]=Sheet2!TF$21)),"")</f>
        <v/>
      </c>
      <c r="TG22" t="str" cm="1">
        <f t="array" ref="TG22">IF(TG$21&lt;&gt;"",_xlfn.UNIQUE(_xlfn._xlws.FILTER(RAW[[#All],[Room Type]],RAW[[#All],[Hotel / Resort Name ]]=Sheet2!TG$21)),"")</f>
        <v/>
      </c>
      <c r="TH22" t="str" cm="1">
        <f t="array" ref="TH22">IF(TH$21&lt;&gt;"",_xlfn.UNIQUE(_xlfn._xlws.FILTER(RAW[[#All],[Room Type]],RAW[[#All],[Hotel / Resort Name ]]=Sheet2!TH$21)),"")</f>
        <v/>
      </c>
      <c r="TI22" t="str" cm="1">
        <f t="array" ref="TI22">IF(TI$21&lt;&gt;"",_xlfn.UNIQUE(_xlfn._xlws.FILTER(RAW[[#All],[Room Type]],RAW[[#All],[Hotel / Resort Name ]]=Sheet2!TI$21)),"")</f>
        <v/>
      </c>
      <c r="TJ22" t="str" cm="1">
        <f t="array" ref="TJ22">IF(TJ$21&lt;&gt;"",_xlfn.UNIQUE(_xlfn._xlws.FILTER(RAW[[#All],[Room Type]],RAW[[#All],[Hotel / Resort Name ]]=Sheet2!TJ$21)),"")</f>
        <v/>
      </c>
      <c r="TK22" t="str" cm="1">
        <f t="array" ref="TK22">IF(TK$21&lt;&gt;"",_xlfn.UNIQUE(_xlfn._xlws.FILTER(RAW[[#All],[Room Type]],RAW[[#All],[Hotel / Resort Name ]]=Sheet2!TK$21)),"")</f>
        <v/>
      </c>
      <c r="TL22" t="str" cm="1">
        <f t="array" ref="TL22">IF(TL$21&lt;&gt;"",_xlfn.UNIQUE(_xlfn._xlws.FILTER(RAW[[#All],[Room Type]],RAW[[#All],[Hotel / Resort Name ]]=Sheet2!TL$21)),"")</f>
        <v/>
      </c>
      <c r="TM22" t="str" cm="1">
        <f t="array" ref="TM22">IF(TM$21&lt;&gt;"",_xlfn.UNIQUE(_xlfn._xlws.FILTER(RAW[[#All],[Room Type]],RAW[[#All],[Hotel / Resort Name ]]=Sheet2!TM$21)),"")</f>
        <v/>
      </c>
      <c r="TN22" t="str" cm="1">
        <f t="array" ref="TN22">IF(TN$21&lt;&gt;"",_xlfn.UNIQUE(_xlfn._xlws.FILTER(RAW[[#All],[Room Type]],RAW[[#All],[Hotel / Resort Name ]]=Sheet2!TN$21)),"")</f>
        <v/>
      </c>
      <c r="TO22" t="str" cm="1">
        <f t="array" ref="TO22">IF(TO$21&lt;&gt;"",_xlfn.UNIQUE(_xlfn._xlws.FILTER(RAW[[#All],[Room Type]],RAW[[#All],[Hotel / Resort Name ]]=Sheet2!TO$21)),"")</f>
        <v/>
      </c>
      <c r="TP22" t="str" cm="1">
        <f t="array" ref="TP22">IF(TP$21&lt;&gt;"",_xlfn.UNIQUE(_xlfn._xlws.FILTER(RAW[[#All],[Room Type]],RAW[[#All],[Hotel / Resort Name ]]=Sheet2!TP$21)),"")</f>
        <v/>
      </c>
      <c r="TQ22" t="str" cm="1">
        <f t="array" ref="TQ22">IF(TQ$21&lt;&gt;"",_xlfn.UNIQUE(_xlfn._xlws.FILTER(RAW[[#All],[Room Type]],RAW[[#All],[Hotel / Resort Name ]]=Sheet2!TQ$21)),"")</f>
        <v/>
      </c>
      <c r="TR22" t="str" cm="1">
        <f t="array" ref="TR22">IF(TR$21&lt;&gt;"",_xlfn.UNIQUE(_xlfn._xlws.FILTER(RAW[[#All],[Room Type]],RAW[[#All],[Hotel / Resort Name ]]=Sheet2!TR$21)),"")</f>
        <v/>
      </c>
      <c r="TS22" t="str" cm="1">
        <f t="array" ref="TS22">IF(TS$21&lt;&gt;"",_xlfn.UNIQUE(_xlfn._xlws.FILTER(RAW[[#All],[Room Type]],RAW[[#All],[Hotel / Resort Name ]]=Sheet2!TS$21)),"")</f>
        <v/>
      </c>
      <c r="TT22" t="str" cm="1">
        <f t="array" ref="TT22">IF(TT$21&lt;&gt;"",_xlfn.UNIQUE(_xlfn._xlws.FILTER(RAW[[#All],[Room Type]],RAW[[#All],[Hotel / Resort Name ]]=Sheet2!TT$21)),"")</f>
        <v/>
      </c>
      <c r="TU22" t="str" cm="1">
        <f t="array" ref="TU22">IF(TU$21&lt;&gt;"",_xlfn.UNIQUE(_xlfn._xlws.FILTER(RAW[[#All],[Room Type]],RAW[[#All],[Hotel / Resort Name ]]=Sheet2!TU$21)),"")</f>
        <v/>
      </c>
      <c r="TV22" t="str" cm="1">
        <f t="array" ref="TV22">IF(TV$21&lt;&gt;"",_xlfn.UNIQUE(_xlfn._xlws.FILTER(RAW[[#All],[Room Type]],RAW[[#All],[Hotel / Resort Name ]]=Sheet2!TV$21)),"")</f>
        <v/>
      </c>
      <c r="TW22" t="str" cm="1">
        <f t="array" ref="TW22">IF(TW$21&lt;&gt;"",_xlfn.UNIQUE(_xlfn._xlws.FILTER(RAW[[#All],[Room Type]],RAW[[#All],[Hotel / Resort Name ]]=Sheet2!TW$21)),"")</f>
        <v/>
      </c>
      <c r="TX22" t="str" cm="1">
        <f t="array" ref="TX22">IF(TX$21&lt;&gt;"",_xlfn.UNIQUE(_xlfn._xlws.FILTER(RAW[[#All],[Room Type]],RAW[[#All],[Hotel / Resort Name ]]=Sheet2!TX$21)),"")</f>
        <v/>
      </c>
      <c r="TY22" t="str" cm="1">
        <f t="array" ref="TY22">IF(TY$21&lt;&gt;"",_xlfn.UNIQUE(_xlfn._xlws.FILTER(RAW[[#All],[Room Type]],RAW[[#All],[Hotel / Resort Name ]]=Sheet2!TY$21)),"")</f>
        <v/>
      </c>
      <c r="TZ22" t="str" cm="1">
        <f t="array" ref="TZ22">IF(TZ$21&lt;&gt;"",_xlfn.UNIQUE(_xlfn._xlws.FILTER(RAW[[#All],[Room Type]],RAW[[#All],[Hotel / Resort Name ]]=Sheet2!TZ$21)),"")</f>
        <v/>
      </c>
      <c r="UA22" t="str" cm="1">
        <f t="array" ref="UA22">IF(UA$21&lt;&gt;"",_xlfn.UNIQUE(_xlfn._xlws.FILTER(RAW[[#All],[Room Type]],RAW[[#All],[Hotel / Resort Name ]]=Sheet2!UA$21)),"")</f>
        <v/>
      </c>
      <c r="UB22" t="str" cm="1">
        <f t="array" ref="UB22">IF(UB$21&lt;&gt;"",_xlfn.UNIQUE(_xlfn._xlws.FILTER(RAW[[#All],[Room Type]],RAW[[#All],[Hotel / Resort Name ]]=Sheet2!UB$21)),"")</f>
        <v/>
      </c>
      <c r="UC22" t="str" cm="1">
        <f t="array" ref="UC22">IF(UC$21&lt;&gt;"",_xlfn.UNIQUE(_xlfn._xlws.FILTER(RAW[[#All],[Room Type]],RAW[[#All],[Hotel / Resort Name ]]=Sheet2!UC$21)),"")</f>
        <v/>
      </c>
      <c r="UD22" t="str" cm="1">
        <f t="array" ref="UD22">IF(UD$21&lt;&gt;"",_xlfn.UNIQUE(_xlfn._xlws.FILTER(RAW[[#All],[Room Type]],RAW[[#All],[Hotel / Resort Name ]]=Sheet2!UD$21)),"")</f>
        <v/>
      </c>
      <c r="UE22" t="str" cm="1">
        <f t="array" ref="UE22">IF(UE$21&lt;&gt;"",_xlfn.UNIQUE(_xlfn._xlws.FILTER(RAW[[#All],[Room Type]],RAW[[#All],[Hotel / Resort Name ]]=Sheet2!UE$21)),"")</f>
        <v/>
      </c>
      <c r="UF22" t="str" cm="1">
        <f t="array" ref="UF22">IF(UF$21&lt;&gt;"",_xlfn.UNIQUE(_xlfn._xlws.FILTER(RAW[[#All],[Room Type]],RAW[[#All],[Hotel / Resort Name ]]=Sheet2!UF$21)),"")</f>
        <v/>
      </c>
      <c r="UG22" t="str" cm="1">
        <f t="array" ref="UG22">IF(UG$21&lt;&gt;"",_xlfn.UNIQUE(_xlfn._xlws.FILTER(RAW[[#All],[Room Type]],RAW[[#All],[Hotel / Resort Name ]]=Sheet2!UG$21)),"")</f>
        <v/>
      </c>
      <c r="UH22" t="str" cm="1">
        <f t="array" ref="UH22">IF(UH$21&lt;&gt;"",_xlfn.UNIQUE(_xlfn._xlws.FILTER(RAW[[#All],[Room Type]],RAW[[#All],[Hotel / Resort Name ]]=Sheet2!UH$21)),"")</f>
        <v/>
      </c>
      <c r="UI22" t="str" cm="1">
        <f t="array" ref="UI22">IF(UI$21&lt;&gt;"",_xlfn.UNIQUE(_xlfn._xlws.FILTER(RAW[[#All],[Room Type]],RAW[[#All],[Hotel / Resort Name ]]=Sheet2!UI$21)),"")</f>
        <v/>
      </c>
      <c r="UJ22" t="str" cm="1">
        <f t="array" ref="UJ22">IF(UJ$21&lt;&gt;"",_xlfn.UNIQUE(_xlfn._xlws.FILTER(RAW[[#All],[Room Type]],RAW[[#All],[Hotel / Resort Name ]]=Sheet2!UJ$21)),"")</f>
        <v/>
      </c>
      <c r="UK22" t="str" cm="1">
        <f t="array" ref="UK22">IF(UK$21&lt;&gt;"",_xlfn.UNIQUE(_xlfn._xlws.FILTER(RAW[[#All],[Room Type]],RAW[[#All],[Hotel / Resort Name ]]=Sheet2!UK$21)),"")</f>
        <v/>
      </c>
      <c r="UL22" t="str" cm="1">
        <f t="array" ref="UL22">IF(UL$21&lt;&gt;"",_xlfn.UNIQUE(_xlfn._xlws.FILTER(RAW[[#All],[Room Type]],RAW[[#All],[Hotel / Resort Name ]]=Sheet2!UL$21)),"")</f>
        <v/>
      </c>
      <c r="UM22" t="str" cm="1">
        <f t="array" ref="UM22">IF(UM$21&lt;&gt;"",_xlfn.UNIQUE(_xlfn._xlws.FILTER(RAW[[#All],[Room Type]],RAW[[#All],[Hotel / Resort Name ]]=Sheet2!UM$21)),"")</f>
        <v/>
      </c>
      <c r="UN22" t="str" cm="1">
        <f t="array" ref="UN22">IF(UN$21&lt;&gt;"",_xlfn.UNIQUE(_xlfn._xlws.FILTER(RAW[[#All],[Room Type]],RAW[[#All],[Hotel / Resort Name ]]=Sheet2!UN$21)),"")</f>
        <v/>
      </c>
      <c r="UO22" t="str" cm="1">
        <f t="array" ref="UO22">IF(UO$21&lt;&gt;"",_xlfn.UNIQUE(_xlfn._xlws.FILTER(RAW[[#All],[Room Type]],RAW[[#All],[Hotel / Resort Name ]]=Sheet2!UO$21)),"")</f>
        <v/>
      </c>
      <c r="UP22" t="str" cm="1">
        <f t="array" ref="UP22">IF(UP$21&lt;&gt;"",_xlfn.UNIQUE(_xlfn._xlws.FILTER(RAW[[#All],[Room Type]],RAW[[#All],[Hotel / Resort Name ]]=Sheet2!UP$21)),"")</f>
        <v/>
      </c>
      <c r="UQ22" t="str" cm="1">
        <f t="array" ref="UQ22">IF(UQ$21&lt;&gt;"",_xlfn.UNIQUE(_xlfn._xlws.FILTER(RAW[[#All],[Room Type]],RAW[[#All],[Hotel / Resort Name ]]=Sheet2!UQ$21)),"")</f>
        <v/>
      </c>
      <c r="UR22" t="str" cm="1">
        <f t="array" ref="UR22">IF(UR$21&lt;&gt;"",_xlfn.UNIQUE(_xlfn._xlws.FILTER(RAW[[#All],[Room Type]],RAW[[#All],[Hotel / Resort Name ]]=Sheet2!UR$21)),"")</f>
        <v/>
      </c>
      <c r="US22" t="str" cm="1">
        <f t="array" ref="US22">IF(US$21&lt;&gt;"",_xlfn.UNIQUE(_xlfn._xlws.FILTER(RAW[[#All],[Room Type]],RAW[[#All],[Hotel / Resort Name ]]=Sheet2!US$21)),"")</f>
        <v/>
      </c>
      <c r="UT22" t="str" cm="1">
        <f t="array" ref="UT22">IF(UT$21&lt;&gt;"",_xlfn.UNIQUE(_xlfn._xlws.FILTER(RAW[[#All],[Room Type]],RAW[[#All],[Hotel / Resort Name ]]=Sheet2!UT$21)),"")</f>
        <v/>
      </c>
      <c r="UU22" t="str" cm="1">
        <f t="array" ref="UU22">IF(UU$21&lt;&gt;"",_xlfn.UNIQUE(_xlfn._xlws.FILTER(RAW[[#All],[Room Type]],RAW[[#All],[Hotel / Resort Name ]]=Sheet2!UU$21)),"")</f>
        <v/>
      </c>
      <c r="UV22" t="str" cm="1">
        <f t="array" ref="UV22">IF(UV$21&lt;&gt;"",_xlfn.UNIQUE(_xlfn._xlws.FILTER(RAW[[#All],[Room Type]],RAW[[#All],[Hotel / Resort Name ]]=Sheet2!UV$21)),"")</f>
        <v/>
      </c>
      <c r="UW22" t="str" cm="1">
        <f t="array" ref="UW22">IF(UW$21&lt;&gt;"",_xlfn.UNIQUE(_xlfn._xlws.FILTER(RAW[[#All],[Room Type]],RAW[[#All],[Hotel / Resort Name ]]=Sheet2!UW$21)),"")</f>
        <v/>
      </c>
      <c r="UX22" t="str" cm="1">
        <f t="array" ref="UX22">IF(UX$21&lt;&gt;"",_xlfn.UNIQUE(_xlfn._xlws.FILTER(RAW[[#All],[Room Type]],RAW[[#All],[Hotel / Resort Name ]]=Sheet2!UX$21)),"")</f>
        <v/>
      </c>
      <c r="UY22" t="str" cm="1">
        <f t="array" ref="UY22">IF(UY$21&lt;&gt;"",_xlfn.UNIQUE(_xlfn._xlws.FILTER(RAW[[#All],[Room Type]],RAW[[#All],[Hotel / Resort Name ]]=Sheet2!UY$21)),"")</f>
        <v/>
      </c>
      <c r="UZ22" t="str" cm="1">
        <f t="array" ref="UZ22">IF(UZ$21&lt;&gt;"",_xlfn.UNIQUE(_xlfn._xlws.FILTER(RAW[[#All],[Room Type]],RAW[[#All],[Hotel / Resort Name ]]=Sheet2!UZ$21)),"")</f>
        <v/>
      </c>
      <c r="VA22" t="str" cm="1">
        <f t="array" ref="VA22">IF(VA$21&lt;&gt;"",_xlfn.UNIQUE(_xlfn._xlws.FILTER(RAW[[#All],[Room Type]],RAW[[#All],[Hotel / Resort Name ]]=Sheet2!VA$21)),"")</f>
        <v/>
      </c>
      <c r="VB22" t="str" cm="1">
        <f t="array" ref="VB22">IF(VB$21&lt;&gt;"",_xlfn.UNIQUE(_xlfn._xlws.FILTER(RAW[[#All],[Room Type]],RAW[[#All],[Hotel / Resort Name ]]=Sheet2!VB$21)),"")</f>
        <v/>
      </c>
      <c r="VC22" t="str" cm="1">
        <f t="array" ref="VC22">IF(VC$21&lt;&gt;"",_xlfn.UNIQUE(_xlfn._xlws.FILTER(RAW[[#All],[Room Type]],RAW[[#All],[Hotel / Resort Name ]]=Sheet2!VC$21)),"")</f>
        <v/>
      </c>
      <c r="VD22" t="str" cm="1">
        <f t="array" ref="VD22">IF(VD$21&lt;&gt;"",_xlfn.UNIQUE(_xlfn._xlws.FILTER(RAW[[#All],[Room Type]],RAW[[#All],[Hotel / Resort Name ]]=Sheet2!VD$21)),"")</f>
        <v/>
      </c>
      <c r="VE22" t="str" cm="1">
        <f t="array" ref="VE22">IF(VE$21&lt;&gt;"",_xlfn.UNIQUE(_xlfn._xlws.FILTER(RAW[[#All],[Room Type]],RAW[[#All],[Hotel / Resort Name ]]=Sheet2!VE$21)),"")</f>
        <v/>
      </c>
      <c r="VF22" t="str" cm="1">
        <f t="array" ref="VF22">IF(VF$21&lt;&gt;"",_xlfn.UNIQUE(_xlfn._xlws.FILTER(RAW[[#All],[Room Type]],RAW[[#All],[Hotel / Resort Name ]]=Sheet2!VF$21)),"")</f>
        <v/>
      </c>
      <c r="VG22" t="str" cm="1">
        <f t="array" ref="VG22">IF(VG$21&lt;&gt;"",_xlfn.UNIQUE(_xlfn._xlws.FILTER(RAW[[#All],[Room Type]],RAW[[#All],[Hotel / Resort Name ]]=Sheet2!VG$21)),"")</f>
        <v/>
      </c>
      <c r="VH22" t="str" cm="1">
        <f t="array" ref="VH22">IF(VH$21&lt;&gt;"",_xlfn.UNIQUE(_xlfn._xlws.FILTER(RAW[[#All],[Room Type]],RAW[[#All],[Hotel / Resort Name ]]=Sheet2!VH$21)),"")</f>
        <v/>
      </c>
      <c r="VI22" t="str" cm="1">
        <f t="array" ref="VI22">IF(VI$21&lt;&gt;"",_xlfn.UNIQUE(_xlfn._xlws.FILTER(RAW[[#All],[Room Type]],RAW[[#All],[Hotel / Resort Name ]]=Sheet2!VI$21)),"")</f>
        <v/>
      </c>
      <c r="VJ22" t="str" cm="1">
        <f t="array" ref="VJ22">IF(VJ$21&lt;&gt;"",_xlfn.UNIQUE(_xlfn._xlws.FILTER(RAW[[#All],[Room Type]],RAW[[#All],[Hotel / Resort Name ]]=Sheet2!VJ$21)),"")</f>
        <v/>
      </c>
      <c r="VK22" t="str" cm="1">
        <f t="array" ref="VK22">IF(VK$21&lt;&gt;"",_xlfn.UNIQUE(_xlfn._xlws.FILTER(RAW[[#All],[Room Type]],RAW[[#All],[Hotel / Resort Name ]]=Sheet2!VK$21)),"")</f>
        <v/>
      </c>
      <c r="VL22" t="str" cm="1">
        <f t="array" ref="VL22">IF(VL$21&lt;&gt;"",_xlfn.UNIQUE(_xlfn._xlws.FILTER(RAW[[#All],[Room Type]],RAW[[#All],[Hotel / Resort Name ]]=Sheet2!VL$21)),"")</f>
        <v/>
      </c>
      <c r="VM22" t="str" cm="1">
        <f t="array" ref="VM22">IF(VM$21&lt;&gt;"",_xlfn.UNIQUE(_xlfn._xlws.FILTER(RAW[[#All],[Room Type]],RAW[[#All],[Hotel / Resort Name ]]=Sheet2!VM$21)),"")</f>
        <v/>
      </c>
      <c r="VN22" t="str" cm="1">
        <f t="array" ref="VN22">IF(VN$21&lt;&gt;"",_xlfn.UNIQUE(_xlfn._xlws.FILTER(RAW[[#All],[Room Type]],RAW[[#All],[Hotel / Resort Name ]]=Sheet2!VN$21)),"")</f>
        <v/>
      </c>
      <c r="VO22" t="str" cm="1">
        <f t="array" ref="VO22">IF(VO$21&lt;&gt;"",_xlfn.UNIQUE(_xlfn._xlws.FILTER(RAW[[#All],[Room Type]],RAW[[#All],[Hotel / Resort Name ]]=Sheet2!VO$21)),"")</f>
        <v/>
      </c>
      <c r="VP22" t="str" cm="1">
        <f t="array" ref="VP22">IF(VP$21&lt;&gt;"",_xlfn.UNIQUE(_xlfn._xlws.FILTER(RAW[[#All],[Room Type]],RAW[[#All],[Hotel / Resort Name ]]=Sheet2!VP$21)),"")</f>
        <v/>
      </c>
      <c r="VQ22" t="str" cm="1">
        <f t="array" ref="VQ22">IF(VQ$21&lt;&gt;"",_xlfn.UNIQUE(_xlfn._xlws.FILTER(RAW[[#All],[Room Type]],RAW[[#All],[Hotel / Resort Name ]]=Sheet2!VQ$21)),"")</f>
        <v/>
      </c>
      <c r="VR22" t="str" cm="1">
        <f t="array" ref="VR22">IF(VR$21&lt;&gt;"",_xlfn.UNIQUE(_xlfn._xlws.FILTER(RAW[[#All],[Room Type]],RAW[[#All],[Hotel / Resort Name ]]=Sheet2!VR$21)),"")</f>
        <v/>
      </c>
      <c r="VS22" t="str" cm="1">
        <f t="array" ref="VS22">IF(VS$21&lt;&gt;"",_xlfn.UNIQUE(_xlfn._xlws.FILTER(RAW[[#All],[Room Type]],RAW[[#All],[Hotel / Resort Name ]]=Sheet2!VS$21)),"")</f>
        <v/>
      </c>
      <c r="VT22" t="str" cm="1">
        <f t="array" ref="VT22">IF(VT$21&lt;&gt;"",_xlfn.UNIQUE(_xlfn._xlws.FILTER(RAW[[#All],[Room Type]],RAW[[#All],[Hotel / Resort Name ]]=Sheet2!VT$21)),"")</f>
        <v/>
      </c>
      <c r="VU22" t="str" cm="1">
        <f t="array" ref="VU22">IF(VU$21&lt;&gt;"",_xlfn.UNIQUE(_xlfn._xlws.FILTER(RAW[[#All],[Room Type]],RAW[[#All],[Hotel / Resort Name ]]=Sheet2!VU$21)),"")</f>
        <v/>
      </c>
      <c r="VV22" t="str" cm="1">
        <f t="array" ref="VV22">IF(VV$21&lt;&gt;"",_xlfn.UNIQUE(_xlfn._xlws.FILTER(RAW[[#All],[Room Type]],RAW[[#All],[Hotel / Resort Name ]]=Sheet2!VV$21)),"")</f>
        <v/>
      </c>
      <c r="VW22" t="str" cm="1">
        <f t="array" ref="VW22">IF(VW$21&lt;&gt;"",_xlfn.UNIQUE(_xlfn._xlws.FILTER(RAW[[#All],[Room Type]],RAW[[#All],[Hotel / Resort Name ]]=Sheet2!VW$21)),"")</f>
        <v/>
      </c>
      <c r="VX22" t="str" cm="1">
        <f t="array" ref="VX22">IF(VX$21&lt;&gt;"",_xlfn.UNIQUE(_xlfn._xlws.FILTER(RAW[[#All],[Room Type]],RAW[[#All],[Hotel / Resort Name ]]=Sheet2!VX$21)),"")</f>
        <v/>
      </c>
      <c r="VY22" t="str" cm="1">
        <f t="array" ref="VY22">IF(VY$21&lt;&gt;"",_xlfn.UNIQUE(_xlfn._xlws.FILTER(RAW[[#All],[Room Type]],RAW[[#All],[Hotel / Resort Name ]]=Sheet2!VY$21)),"")</f>
        <v/>
      </c>
      <c r="VZ22" t="str" cm="1">
        <f t="array" ref="VZ22">IF(VZ$21&lt;&gt;"",_xlfn.UNIQUE(_xlfn._xlws.FILTER(RAW[[#All],[Room Type]],RAW[[#All],[Hotel / Resort Name ]]=Sheet2!VZ$21)),"")</f>
        <v/>
      </c>
      <c r="WA22" t="str" cm="1">
        <f t="array" ref="WA22">IF(WA$21&lt;&gt;"",_xlfn.UNIQUE(_xlfn._xlws.FILTER(RAW[[#All],[Room Type]],RAW[[#All],[Hotel / Resort Name ]]=Sheet2!WA$21)),"")</f>
        <v/>
      </c>
      <c r="WB22" t="str" cm="1">
        <f t="array" ref="WB22">IF(WB$21&lt;&gt;"",_xlfn.UNIQUE(_xlfn._xlws.FILTER(RAW[[#All],[Room Type]],RAW[[#All],[Hotel / Resort Name ]]=Sheet2!WB$21)),"")</f>
        <v/>
      </c>
      <c r="WC22" t="str" cm="1">
        <f t="array" ref="WC22">IF(WC$21&lt;&gt;"",_xlfn.UNIQUE(_xlfn._xlws.FILTER(RAW[[#All],[Room Type]],RAW[[#All],[Hotel / Resort Name ]]=Sheet2!WC$21)),"")</f>
        <v/>
      </c>
      <c r="WD22" t="str" cm="1">
        <f t="array" ref="WD22">IF(WD$21&lt;&gt;"",_xlfn.UNIQUE(_xlfn._xlws.FILTER(RAW[[#All],[Room Type]],RAW[[#All],[Hotel / Resort Name ]]=Sheet2!WD$21)),"")</f>
        <v/>
      </c>
      <c r="WE22" t="str" cm="1">
        <f t="array" ref="WE22">IF(WE$21&lt;&gt;"",_xlfn.UNIQUE(_xlfn._xlws.FILTER(RAW[[#All],[Room Type]],RAW[[#All],[Hotel / Resort Name ]]=Sheet2!WE$21)),"")</f>
        <v/>
      </c>
      <c r="WF22" t="str" cm="1">
        <f t="array" ref="WF22">IF(WF$21&lt;&gt;"",_xlfn.UNIQUE(_xlfn._xlws.FILTER(RAW[[#All],[Room Type]],RAW[[#All],[Hotel / Resort Name ]]=Sheet2!WF$21)),"")</f>
        <v/>
      </c>
      <c r="WG22" t="str" cm="1">
        <f t="array" ref="WG22">IF(WG$21&lt;&gt;"",_xlfn.UNIQUE(_xlfn._xlws.FILTER(RAW[[#All],[Room Type]],RAW[[#All],[Hotel / Resort Name ]]=Sheet2!WG$21)),"")</f>
        <v/>
      </c>
      <c r="WH22" t="str" cm="1">
        <f t="array" ref="WH22">IF(WH$21&lt;&gt;"",_xlfn.UNIQUE(_xlfn._xlws.FILTER(RAW[[#All],[Room Type]],RAW[[#All],[Hotel / Resort Name ]]=Sheet2!WH$21)),"")</f>
        <v/>
      </c>
      <c r="WI22" t="str" cm="1">
        <f t="array" ref="WI22">IF(WI$21&lt;&gt;"",_xlfn.UNIQUE(_xlfn._xlws.FILTER(RAW[[#All],[Room Type]],RAW[[#All],[Hotel / Resort Name ]]=Sheet2!WI$21)),"")</f>
        <v/>
      </c>
      <c r="WJ22" t="str" cm="1">
        <f t="array" ref="WJ22">IF(WJ$21&lt;&gt;"",_xlfn.UNIQUE(_xlfn._xlws.FILTER(RAW[[#All],[Room Type]],RAW[[#All],[Hotel / Resort Name ]]=Sheet2!WJ$21)),"")</f>
        <v/>
      </c>
      <c r="WK22" t="str" cm="1">
        <f t="array" ref="WK22">IF(WK$21&lt;&gt;"",_xlfn.UNIQUE(_xlfn._xlws.FILTER(RAW[[#All],[Room Type]],RAW[[#All],[Hotel / Resort Name ]]=Sheet2!WK$21)),"")</f>
        <v/>
      </c>
      <c r="WL22" t="str" cm="1">
        <f t="array" ref="WL22">IF(WL$21&lt;&gt;"",_xlfn.UNIQUE(_xlfn._xlws.FILTER(RAW[[#All],[Room Type]],RAW[[#All],[Hotel / Resort Name ]]=Sheet2!WL$21)),"")</f>
        <v/>
      </c>
      <c r="WM22" t="str" cm="1">
        <f t="array" ref="WM22">IF(WM$21&lt;&gt;"",_xlfn.UNIQUE(_xlfn._xlws.FILTER(RAW[[#All],[Room Type]],RAW[[#All],[Hotel / Resort Name ]]=Sheet2!WM$21)),"")</f>
        <v/>
      </c>
      <c r="WN22" t="str" cm="1">
        <f t="array" ref="WN22">IF(WN$21&lt;&gt;"",_xlfn.UNIQUE(_xlfn._xlws.FILTER(RAW[[#All],[Room Type]],RAW[[#All],[Hotel / Resort Name ]]=Sheet2!WN$21)),"")</f>
        <v/>
      </c>
      <c r="WO22" t="str" cm="1">
        <f t="array" ref="WO22">IF(WO$21&lt;&gt;"",_xlfn.UNIQUE(_xlfn._xlws.FILTER(RAW[[#All],[Room Type]],RAW[[#All],[Hotel / Resort Name ]]=Sheet2!WO$21)),"")</f>
        <v/>
      </c>
      <c r="WP22" t="str" cm="1">
        <f t="array" ref="WP22">IF(WP$21&lt;&gt;"",_xlfn.UNIQUE(_xlfn._xlws.FILTER(RAW[[#All],[Room Type]],RAW[[#All],[Hotel / Resort Name ]]=Sheet2!WP$21)),"")</f>
        <v/>
      </c>
      <c r="WQ22" t="str" cm="1">
        <f t="array" ref="WQ22">IF(WQ$21&lt;&gt;"",_xlfn.UNIQUE(_xlfn._xlws.FILTER(RAW[[#All],[Room Type]],RAW[[#All],[Hotel / Resort Name ]]=Sheet2!WQ$21)),"")</f>
        <v/>
      </c>
      <c r="WR22" t="str" cm="1">
        <f t="array" ref="WR22">IF(WR$21&lt;&gt;"",_xlfn.UNIQUE(_xlfn._xlws.FILTER(RAW[[#All],[Room Type]],RAW[[#All],[Hotel / Resort Name ]]=Sheet2!WR$21)),"")</f>
        <v/>
      </c>
      <c r="WS22" t="str" cm="1">
        <f t="array" ref="WS22">IF(WS$21&lt;&gt;"",_xlfn.UNIQUE(_xlfn._xlws.FILTER(RAW[[#All],[Room Type]],RAW[[#All],[Hotel / Resort Name ]]=Sheet2!WS$21)),"")</f>
        <v/>
      </c>
      <c r="WT22" t="str" cm="1">
        <f t="array" ref="WT22">IF(WT$21&lt;&gt;"",_xlfn.UNIQUE(_xlfn._xlws.FILTER(RAW[[#All],[Room Type]],RAW[[#All],[Hotel / Resort Name ]]=Sheet2!WT$21)),"")</f>
        <v/>
      </c>
      <c r="WU22" t="str" cm="1">
        <f t="array" ref="WU22">IF(WU$21&lt;&gt;"",_xlfn.UNIQUE(_xlfn._xlws.FILTER(RAW[[#All],[Room Type]],RAW[[#All],[Hotel / Resort Name ]]=Sheet2!WU$21)),"")</f>
        <v/>
      </c>
      <c r="WV22" t="str" cm="1">
        <f t="array" ref="WV22">IF(WV$21&lt;&gt;"",_xlfn.UNIQUE(_xlfn._xlws.FILTER(RAW[[#All],[Room Type]],RAW[[#All],[Hotel / Resort Name ]]=Sheet2!WV$21)),"")</f>
        <v/>
      </c>
      <c r="WW22" t="str" cm="1">
        <f t="array" ref="WW22">IF(WW$21&lt;&gt;"",_xlfn.UNIQUE(_xlfn._xlws.FILTER(RAW[[#All],[Room Type]],RAW[[#All],[Hotel / Resort Name ]]=Sheet2!WW$21)),"")</f>
        <v/>
      </c>
      <c r="WX22" t="str" cm="1">
        <f t="array" ref="WX22">IF(WX$21&lt;&gt;"",_xlfn.UNIQUE(_xlfn._xlws.FILTER(RAW[[#All],[Room Type]],RAW[[#All],[Hotel / Resort Name ]]=Sheet2!WX$21)),"")</f>
        <v/>
      </c>
      <c r="WY22" t="str" cm="1">
        <f t="array" ref="WY22">IF(WY$21&lt;&gt;"",_xlfn.UNIQUE(_xlfn._xlws.FILTER(RAW[[#All],[Room Type]],RAW[[#All],[Hotel / Resort Name ]]=Sheet2!WY$21)),"")</f>
        <v/>
      </c>
      <c r="WZ22" t="str" cm="1">
        <f t="array" ref="WZ22">IF(WZ$21&lt;&gt;"",_xlfn.UNIQUE(_xlfn._xlws.FILTER(RAW[[#All],[Room Type]],RAW[[#All],[Hotel / Resort Name ]]=Sheet2!WZ$21)),"")</f>
        <v/>
      </c>
      <c r="XA22" t="str" cm="1">
        <f t="array" ref="XA22">IF(XA$21&lt;&gt;"",_xlfn.UNIQUE(_xlfn._xlws.FILTER(RAW[[#All],[Room Type]],RAW[[#All],[Hotel / Resort Name ]]=Sheet2!XA$21)),"")</f>
        <v/>
      </c>
      <c r="XB22" t="str" cm="1">
        <f t="array" ref="XB22">IF(XB$21&lt;&gt;"",_xlfn.UNIQUE(_xlfn._xlws.FILTER(RAW[[#All],[Room Type]],RAW[[#All],[Hotel / Resort Name ]]=Sheet2!XB$21)),"")</f>
        <v/>
      </c>
      <c r="XC22" t="str" cm="1">
        <f t="array" ref="XC22">IF(XC$21&lt;&gt;"",_xlfn.UNIQUE(_xlfn._xlws.FILTER(RAW[[#All],[Room Type]],RAW[[#All],[Hotel / Resort Name ]]=Sheet2!XC$21)),"")</f>
        <v/>
      </c>
      <c r="XD22" t="str" cm="1">
        <f t="array" ref="XD22">IF(XD$21&lt;&gt;"",_xlfn.UNIQUE(_xlfn._xlws.FILTER(RAW[[#All],[Room Type]],RAW[[#All],[Hotel / Resort Name ]]=Sheet2!XD$21)),"")</f>
        <v/>
      </c>
      <c r="XE22" t="str" cm="1">
        <f t="array" ref="XE22">IF(XE$21&lt;&gt;"",_xlfn.UNIQUE(_xlfn._xlws.FILTER(RAW[[#All],[Room Type]],RAW[[#All],[Hotel / Resort Name ]]=Sheet2!XE$21)),"")</f>
        <v/>
      </c>
      <c r="XF22" t="str" cm="1">
        <f t="array" ref="XF22">IF(XF$21&lt;&gt;"",_xlfn.UNIQUE(_xlfn._xlws.FILTER(RAW[[#All],[Room Type]],RAW[[#All],[Hotel / Resort Name ]]=Sheet2!XF$21)),"")</f>
        <v/>
      </c>
      <c r="XG22" t="str" cm="1">
        <f t="array" ref="XG22">IF(XG$21&lt;&gt;"",_xlfn.UNIQUE(_xlfn._xlws.FILTER(RAW[[#All],[Room Type]],RAW[[#All],[Hotel / Resort Name ]]=Sheet2!XG$21)),"")</f>
        <v/>
      </c>
      <c r="XH22" t="str" cm="1">
        <f t="array" ref="XH22">IF(XH$21&lt;&gt;"",_xlfn.UNIQUE(_xlfn._xlws.FILTER(RAW[[#All],[Room Type]],RAW[[#All],[Hotel / Resort Name ]]=Sheet2!XH$21)),"")</f>
        <v/>
      </c>
      <c r="XI22" t="str" cm="1">
        <f t="array" ref="XI22">IF(XI$21&lt;&gt;"",_xlfn.UNIQUE(_xlfn._xlws.FILTER(RAW[[#All],[Room Type]],RAW[[#All],[Hotel / Resort Name ]]=Sheet2!XI$21)),"")</f>
        <v/>
      </c>
      <c r="XJ22" t="str" cm="1">
        <f t="array" ref="XJ22">IF(XJ$21&lt;&gt;"",_xlfn.UNIQUE(_xlfn._xlws.FILTER(RAW[[#All],[Room Type]],RAW[[#All],[Hotel / Resort Name ]]=Sheet2!XJ$21)),"")</f>
        <v/>
      </c>
      <c r="XK22" t="str" cm="1">
        <f t="array" ref="XK22">IF(XK$21&lt;&gt;"",_xlfn.UNIQUE(_xlfn._xlws.FILTER(RAW[[#All],[Room Type]],RAW[[#All],[Hotel / Resort Name ]]=Sheet2!XK$21)),"")</f>
        <v/>
      </c>
      <c r="XL22" t="str" cm="1">
        <f t="array" ref="XL22">IF(XL$21&lt;&gt;"",_xlfn.UNIQUE(_xlfn._xlws.FILTER(RAW[[#All],[Room Type]],RAW[[#All],[Hotel / Resort Name ]]=Sheet2!XL$21)),"")</f>
        <v/>
      </c>
      <c r="XM22" t="str" cm="1">
        <f t="array" ref="XM22">IF(XM$21&lt;&gt;"",_xlfn.UNIQUE(_xlfn._xlws.FILTER(RAW[[#All],[Room Type]],RAW[[#All],[Hotel / Resort Name ]]=Sheet2!XM$21)),"")</f>
        <v/>
      </c>
      <c r="XN22" t="str" cm="1">
        <f t="array" ref="XN22">IF(XN$21&lt;&gt;"",_xlfn.UNIQUE(_xlfn._xlws.FILTER(RAW[[#All],[Room Type]],RAW[[#All],[Hotel / Resort Name ]]=Sheet2!XN$21)),"")</f>
        <v/>
      </c>
      <c r="XO22" t="str" cm="1">
        <f t="array" ref="XO22">IF(XO$21&lt;&gt;"",_xlfn.UNIQUE(_xlfn._xlws.FILTER(RAW[[#All],[Room Type]],RAW[[#All],[Hotel / Resort Name ]]=Sheet2!XO$21)),"")</f>
        <v/>
      </c>
      <c r="XP22" t="str" cm="1">
        <f t="array" ref="XP22">IF(XP$21&lt;&gt;"",_xlfn.UNIQUE(_xlfn._xlws.FILTER(RAW[[#All],[Room Type]],RAW[[#All],[Hotel / Resort Name ]]=Sheet2!XP$21)),"")</f>
        <v/>
      </c>
      <c r="XQ22" t="str" cm="1">
        <f t="array" ref="XQ22">IF(XQ$21&lt;&gt;"",_xlfn.UNIQUE(_xlfn._xlws.FILTER(RAW[[#All],[Room Type]],RAW[[#All],[Hotel / Resort Name ]]=Sheet2!XQ$21)),"")</f>
        <v/>
      </c>
      <c r="XR22" t="str" cm="1">
        <f t="array" ref="XR22">IF(XR$21&lt;&gt;"",_xlfn.UNIQUE(_xlfn._xlws.FILTER(RAW[[#All],[Room Type]],RAW[[#All],[Hotel / Resort Name ]]=Sheet2!XR$21)),"")</f>
        <v/>
      </c>
      <c r="XS22" t="str" cm="1">
        <f t="array" ref="XS22">IF(XS$21&lt;&gt;"",_xlfn.UNIQUE(_xlfn._xlws.FILTER(RAW[[#All],[Room Type]],RAW[[#All],[Hotel / Resort Name ]]=Sheet2!XS$21)),"")</f>
        <v/>
      </c>
      <c r="XT22" t="str" cm="1">
        <f t="array" ref="XT22">IF(XT$21&lt;&gt;"",_xlfn.UNIQUE(_xlfn._xlws.FILTER(RAW[[#All],[Room Type]],RAW[[#All],[Hotel / Resort Name ]]=Sheet2!XT$21)),"")</f>
        <v/>
      </c>
      <c r="XU22" t="str" cm="1">
        <f t="array" ref="XU22">IF(XU$21&lt;&gt;"",_xlfn.UNIQUE(_xlfn._xlws.FILTER(RAW[[#All],[Room Type]],RAW[[#All],[Hotel / Resort Name ]]=Sheet2!XU$21)),"")</f>
        <v/>
      </c>
      <c r="XV22" t="str" cm="1">
        <f t="array" ref="XV22">IF(XV$21&lt;&gt;"",_xlfn.UNIQUE(_xlfn._xlws.FILTER(RAW[[#All],[Room Type]],RAW[[#All],[Hotel / Resort Name ]]=Sheet2!XV$21)),"")</f>
        <v/>
      </c>
      <c r="XW22" t="str" cm="1">
        <f t="array" ref="XW22">IF(XW$21&lt;&gt;"",_xlfn.UNIQUE(_xlfn._xlws.FILTER(RAW[[#All],[Room Type]],RAW[[#All],[Hotel / Resort Name ]]=Sheet2!XW$21)),"")</f>
        <v/>
      </c>
      <c r="XX22" t="str" cm="1">
        <f t="array" ref="XX22">IF(XX$21&lt;&gt;"",_xlfn.UNIQUE(_xlfn._xlws.FILTER(RAW[[#All],[Room Type]],RAW[[#All],[Hotel / Resort Name ]]=Sheet2!XX$21)),"")</f>
        <v/>
      </c>
      <c r="XY22" t="str" cm="1">
        <f t="array" ref="XY22">IF(XY$21&lt;&gt;"",_xlfn.UNIQUE(_xlfn._xlws.FILTER(RAW[[#All],[Room Type]],RAW[[#All],[Hotel / Resort Name ]]=Sheet2!XY$21)),"")</f>
        <v/>
      </c>
      <c r="XZ22" t="str" cm="1">
        <f t="array" ref="XZ22">IF(XZ$21&lt;&gt;"",_xlfn.UNIQUE(_xlfn._xlws.FILTER(RAW[[#All],[Room Type]],RAW[[#All],[Hotel / Resort Name ]]=Sheet2!XZ$21)),"")</f>
        <v/>
      </c>
      <c r="YA22" t="str" cm="1">
        <f t="array" ref="YA22">IF(YA$21&lt;&gt;"",_xlfn.UNIQUE(_xlfn._xlws.FILTER(RAW[[#All],[Room Type]],RAW[[#All],[Hotel / Resort Name ]]=Sheet2!YA$21)),"")</f>
        <v/>
      </c>
      <c r="YB22" t="str" cm="1">
        <f t="array" ref="YB22">IF(YB$21&lt;&gt;"",_xlfn.UNIQUE(_xlfn._xlws.FILTER(RAW[[#All],[Room Type]],RAW[[#All],[Hotel / Resort Name ]]=Sheet2!YB$21)),"")</f>
        <v/>
      </c>
      <c r="YC22" t="str" cm="1">
        <f t="array" ref="YC22">IF(YC$21&lt;&gt;"",_xlfn.UNIQUE(_xlfn._xlws.FILTER(RAW[[#All],[Room Type]],RAW[[#All],[Hotel / Resort Name ]]=Sheet2!YC$21)),"")</f>
        <v/>
      </c>
      <c r="YD22" t="str" cm="1">
        <f t="array" ref="YD22">IF(YD$21&lt;&gt;"",_xlfn.UNIQUE(_xlfn._xlws.FILTER(RAW[[#All],[Room Type]],RAW[[#All],[Hotel / Resort Name ]]=Sheet2!YD$21)),"")</f>
        <v/>
      </c>
      <c r="YE22" t="str" cm="1">
        <f t="array" ref="YE22">IF(YE$21&lt;&gt;"",_xlfn.UNIQUE(_xlfn._xlws.FILTER(RAW[[#All],[Room Type]],RAW[[#All],[Hotel / Resort Name ]]=Sheet2!YE$21)),"")</f>
        <v/>
      </c>
      <c r="YF22" t="str" cm="1">
        <f t="array" ref="YF22">IF(YF$21&lt;&gt;"",_xlfn.UNIQUE(_xlfn._xlws.FILTER(RAW[[#All],[Room Type]],RAW[[#All],[Hotel / Resort Name ]]=Sheet2!YF$21)),"")</f>
        <v/>
      </c>
      <c r="YG22" t="str" cm="1">
        <f t="array" ref="YG22">IF(YG$21&lt;&gt;"",_xlfn.UNIQUE(_xlfn._xlws.FILTER(RAW[[#All],[Room Type]],RAW[[#All],[Hotel / Resort Name ]]=Sheet2!YG$21)),"")</f>
        <v/>
      </c>
      <c r="YH22" t="str" cm="1">
        <f t="array" ref="YH22">IF(YH$21&lt;&gt;"",_xlfn.UNIQUE(_xlfn._xlws.FILTER(RAW[[#All],[Room Type]],RAW[[#All],[Hotel / Resort Name ]]=Sheet2!YH$21)),"")</f>
        <v/>
      </c>
      <c r="YI22" t="str" cm="1">
        <f t="array" ref="YI22">IF(YI$21&lt;&gt;"",_xlfn.UNIQUE(_xlfn._xlws.FILTER(RAW[[#All],[Room Type]],RAW[[#All],[Hotel / Resort Name ]]=Sheet2!YI$21)),"")</f>
        <v/>
      </c>
      <c r="YJ22" t="str" cm="1">
        <f t="array" ref="YJ22">IF(YJ$21&lt;&gt;"",_xlfn.UNIQUE(_xlfn._xlws.FILTER(RAW[[#All],[Room Type]],RAW[[#All],[Hotel / Resort Name ]]=Sheet2!YJ$21)),"")</f>
        <v/>
      </c>
      <c r="YK22" t="str" cm="1">
        <f t="array" ref="YK22">IF(YK$21&lt;&gt;"",_xlfn.UNIQUE(_xlfn._xlws.FILTER(RAW[[#All],[Room Type]],RAW[[#All],[Hotel / Resort Name ]]=Sheet2!YK$21)),"")</f>
        <v/>
      </c>
      <c r="YL22" t="str" cm="1">
        <f t="array" ref="YL22">IF(YL$21&lt;&gt;"",_xlfn.UNIQUE(_xlfn._xlws.FILTER(RAW[[#All],[Room Type]],RAW[[#All],[Hotel / Resort Name ]]=Sheet2!YL$21)),"")</f>
        <v/>
      </c>
      <c r="YM22" t="str" cm="1">
        <f t="array" ref="YM22">IF(YM$21&lt;&gt;"",_xlfn.UNIQUE(_xlfn._xlws.FILTER(RAW[[#All],[Room Type]],RAW[[#All],[Hotel / Resort Name ]]=Sheet2!YM$21)),"")</f>
        <v/>
      </c>
      <c r="YN22" t="str" cm="1">
        <f t="array" ref="YN22">IF(YN$21&lt;&gt;"",_xlfn.UNIQUE(_xlfn._xlws.FILTER(RAW[[#All],[Room Type]],RAW[[#All],[Hotel / Resort Name ]]=Sheet2!YN$21)),"")</f>
        <v/>
      </c>
      <c r="YO22" t="str" cm="1">
        <f t="array" ref="YO22">IF(YO$21&lt;&gt;"",_xlfn.UNIQUE(_xlfn._xlws.FILTER(RAW[[#All],[Room Type]],RAW[[#All],[Hotel / Resort Name ]]=Sheet2!YO$21)),"")</f>
        <v/>
      </c>
      <c r="YP22" t="str" cm="1">
        <f t="array" ref="YP22">IF(YP$21&lt;&gt;"",_xlfn.UNIQUE(_xlfn._xlws.FILTER(RAW[[#All],[Room Type]],RAW[[#All],[Hotel / Resort Name ]]=Sheet2!YP$21)),"")</f>
        <v/>
      </c>
      <c r="YQ22" t="str" cm="1">
        <f t="array" ref="YQ22">IF(YQ$21&lt;&gt;"",_xlfn.UNIQUE(_xlfn._xlws.FILTER(RAW[[#All],[Room Type]],RAW[[#All],[Hotel / Resort Name ]]=Sheet2!YQ$21)),"")</f>
        <v/>
      </c>
      <c r="YR22" t="str" cm="1">
        <f t="array" ref="YR22">IF(YR$21&lt;&gt;"",_xlfn.UNIQUE(_xlfn._xlws.FILTER(RAW[[#All],[Room Type]],RAW[[#All],[Hotel / Resort Name ]]=Sheet2!YR$21)),"")</f>
        <v/>
      </c>
      <c r="YS22" t="str" cm="1">
        <f t="array" ref="YS22">IF(YS$21&lt;&gt;"",_xlfn.UNIQUE(_xlfn._xlws.FILTER(RAW[[#All],[Room Type]],RAW[[#All],[Hotel / Resort Name ]]=Sheet2!YS$21)),"")</f>
        <v/>
      </c>
      <c r="YT22" t="str" cm="1">
        <f t="array" ref="YT22">IF(YT$21&lt;&gt;"",_xlfn.UNIQUE(_xlfn._xlws.FILTER(RAW[[#All],[Room Type]],RAW[[#All],[Hotel / Resort Name ]]=Sheet2!YT$21)),"")</f>
        <v/>
      </c>
      <c r="YU22" t="str" cm="1">
        <f t="array" ref="YU22">IF(YU$21&lt;&gt;"",_xlfn.UNIQUE(_xlfn._xlws.FILTER(RAW[[#All],[Room Type]],RAW[[#All],[Hotel / Resort Name ]]=Sheet2!YU$21)),"")</f>
        <v/>
      </c>
      <c r="YV22" t="str" cm="1">
        <f t="array" ref="YV22">IF(YV$21&lt;&gt;"",_xlfn.UNIQUE(_xlfn._xlws.FILTER(RAW[[#All],[Room Type]],RAW[[#All],[Hotel / Resort Name ]]=Sheet2!YV$21)),"")</f>
        <v/>
      </c>
      <c r="YW22" t="str" cm="1">
        <f t="array" ref="YW22">IF(YW$21&lt;&gt;"",_xlfn.UNIQUE(_xlfn._xlws.FILTER(RAW[[#All],[Room Type]],RAW[[#All],[Hotel / Resort Name ]]=Sheet2!YW$21)),"")</f>
        <v/>
      </c>
      <c r="YX22" t="str" cm="1">
        <f t="array" ref="YX22">IF(YX$21&lt;&gt;"",_xlfn.UNIQUE(_xlfn._xlws.FILTER(RAW[[#All],[Room Type]],RAW[[#All],[Hotel / Resort Name ]]=Sheet2!YX$21)),"")</f>
        <v/>
      </c>
      <c r="YY22" t="str" cm="1">
        <f t="array" ref="YY22">IF(YY$21&lt;&gt;"",_xlfn.UNIQUE(_xlfn._xlws.FILTER(RAW[[#All],[Room Type]],RAW[[#All],[Hotel / Resort Name ]]=Sheet2!YY$21)),"")</f>
        <v/>
      </c>
      <c r="YZ22" t="str" cm="1">
        <f t="array" ref="YZ22">IF(YZ$21&lt;&gt;"",_xlfn.UNIQUE(_xlfn._xlws.FILTER(RAW[[#All],[Room Type]],RAW[[#All],[Hotel / Resort Name ]]=Sheet2!YZ$21)),"")</f>
        <v/>
      </c>
      <c r="ZA22" t="str" cm="1">
        <f t="array" ref="ZA22">IF(ZA$21&lt;&gt;"",_xlfn.UNIQUE(_xlfn._xlws.FILTER(RAW[[#All],[Room Type]],RAW[[#All],[Hotel / Resort Name ]]=Sheet2!ZA$21)),"")</f>
        <v/>
      </c>
      <c r="ZB22" t="str" cm="1">
        <f t="array" ref="ZB22">IF(ZB$21&lt;&gt;"",_xlfn.UNIQUE(_xlfn._xlws.FILTER(RAW[[#All],[Room Type]],RAW[[#All],[Hotel / Resort Name ]]=Sheet2!ZB$21)),"")</f>
        <v/>
      </c>
      <c r="ZC22" t="str" cm="1">
        <f t="array" ref="ZC22">IF(ZC$21&lt;&gt;"",_xlfn.UNIQUE(_xlfn._xlws.FILTER(RAW[[#All],[Room Type]],RAW[[#All],[Hotel / Resort Name ]]=Sheet2!ZC$21)),"")</f>
        <v/>
      </c>
      <c r="ZD22" t="str" cm="1">
        <f t="array" ref="ZD22">IF(ZD$21&lt;&gt;"",_xlfn.UNIQUE(_xlfn._xlws.FILTER(RAW[[#All],[Room Type]],RAW[[#All],[Hotel / Resort Name ]]=Sheet2!ZD$21)),"")</f>
        <v/>
      </c>
      <c r="ZE22" t="str" cm="1">
        <f t="array" ref="ZE22">IF(ZE$21&lt;&gt;"",_xlfn.UNIQUE(_xlfn._xlws.FILTER(RAW[[#All],[Room Type]],RAW[[#All],[Hotel / Resort Name ]]=Sheet2!ZE$21)),"")</f>
        <v/>
      </c>
      <c r="ZF22" t="str" cm="1">
        <f t="array" ref="ZF22">IF(ZF$21&lt;&gt;"",_xlfn.UNIQUE(_xlfn._xlws.FILTER(RAW[[#All],[Room Type]],RAW[[#All],[Hotel / Resort Name ]]=Sheet2!ZF$21)),"")</f>
        <v/>
      </c>
      <c r="ZG22" t="str" cm="1">
        <f t="array" ref="ZG22">IF(ZG$21&lt;&gt;"",_xlfn.UNIQUE(_xlfn._xlws.FILTER(RAW[[#All],[Room Type]],RAW[[#All],[Hotel / Resort Name ]]=Sheet2!ZG$21)),"")</f>
        <v/>
      </c>
      <c r="ZH22" t="str" cm="1">
        <f t="array" ref="ZH22">IF(ZH$21&lt;&gt;"",_xlfn.UNIQUE(_xlfn._xlws.FILTER(RAW[[#All],[Room Type]],RAW[[#All],[Hotel / Resort Name ]]=Sheet2!ZH$21)),"")</f>
        <v/>
      </c>
      <c r="ZI22" t="str" cm="1">
        <f t="array" ref="ZI22">IF(ZI$21&lt;&gt;"",_xlfn.UNIQUE(_xlfn._xlws.FILTER(RAW[[#All],[Room Type]],RAW[[#All],[Hotel / Resort Name ]]=Sheet2!ZI$21)),"")</f>
        <v/>
      </c>
      <c r="ZJ22" t="str" cm="1">
        <f t="array" ref="ZJ22">IF(ZJ$21&lt;&gt;"",_xlfn.UNIQUE(_xlfn._xlws.FILTER(RAW[[#All],[Room Type]],RAW[[#All],[Hotel / Resort Name ]]=Sheet2!ZJ$21)),"")</f>
        <v/>
      </c>
      <c r="ZK22" t="str" cm="1">
        <f t="array" ref="ZK22">IF(ZK$21&lt;&gt;"",_xlfn.UNIQUE(_xlfn._xlws.FILTER(RAW[[#All],[Room Type]],RAW[[#All],[Hotel / Resort Name ]]=Sheet2!ZK$21)),"")</f>
        <v/>
      </c>
      <c r="ZL22" t="str" cm="1">
        <f t="array" ref="ZL22">IF(ZL$21&lt;&gt;"",_xlfn.UNIQUE(_xlfn._xlws.FILTER(RAW[[#All],[Room Type]],RAW[[#All],[Hotel / Resort Name ]]=Sheet2!ZL$21)),"")</f>
        <v/>
      </c>
      <c r="ZM22" t="str" cm="1">
        <f t="array" ref="ZM22">IF(ZM$21&lt;&gt;"",_xlfn.UNIQUE(_xlfn._xlws.FILTER(RAW[[#All],[Room Type]],RAW[[#All],[Hotel / Resort Name ]]=Sheet2!ZM$21)),"")</f>
        <v/>
      </c>
      <c r="ZN22" t="str" cm="1">
        <f t="array" ref="ZN22">IF(ZN$21&lt;&gt;"",_xlfn.UNIQUE(_xlfn._xlws.FILTER(RAW[[#All],[Room Type]],RAW[[#All],[Hotel / Resort Name ]]=Sheet2!ZN$21)),"")</f>
        <v/>
      </c>
      <c r="ZO22" t="str" cm="1">
        <f t="array" ref="ZO22">IF(ZO$21&lt;&gt;"",_xlfn.UNIQUE(_xlfn._xlws.FILTER(RAW[[#All],[Room Type]],RAW[[#All],[Hotel / Resort Name ]]=Sheet2!ZO$21)),"")</f>
        <v/>
      </c>
      <c r="ZP22" t="str" cm="1">
        <f t="array" ref="ZP22">IF(ZP$21&lt;&gt;"",_xlfn.UNIQUE(_xlfn._xlws.FILTER(RAW[[#All],[Room Type]],RAW[[#All],[Hotel / Resort Name ]]=Sheet2!ZP$21)),"")</f>
        <v/>
      </c>
      <c r="ZQ22" t="str" cm="1">
        <f t="array" ref="ZQ22">IF(ZQ$21&lt;&gt;"",_xlfn.UNIQUE(_xlfn._xlws.FILTER(RAW[[#All],[Room Type]],RAW[[#All],[Hotel / Resort Name ]]=Sheet2!ZQ$21)),"")</f>
        <v/>
      </c>
      <c r="ZR22" t="str" cm="1">
        <f t="array" ref="ZR22">IF(ZR$21&lt;&gt;"",_xlfn.UNIQUE(_xlfn._xlws.FILTER(RAW[[#All],[Room Type]],RAW[[#All],[Hotel / Resort Name ]]=Sheet2!ZR$21)),"")</f>
        <v/>
      </c>
      <c r="ZS22" t="str" cm="1">
        <f t="array" ref="ZS22">IF(ZS$21&lt;&gt;"",_xlfn.UNIQUE(_xlfn._xlws.FILTER(RAW[[#All],[Room Type]],RAW[[#All],[Hotel / Resort Name ]]=Sheet2!ZS$21)),"")</f>
        <v/>
      </c>
      <c r="ZT22" t="str" cm="1">
        <f t="array" ref="ZT22">IF(ZT$21&lt;&gt;"",_xlfn.UNIQUE(_xlfn._xlws.FILTER(RAW[[#All],[Room Type]],RAW[[#All],[Hotel / Resort Name ]]=Sheet2!ZT$21)),"")</f>
        <v/>
      </c>
      <c r="ZU22" t="str" cm="1">
        <f t="array" ref="ZU22">IF(ZU$21&lt;&gt;"",_xlfn.UNIQUE(_xlfn._xlws.FILTER(RAW[[#All],[Room Type]],RAW[[#All],[Hotel / Resort Name ]]=Sheet2!ZU$21)),"")</f>
        <v/>
      </c>
      <c r="ZV22" t="str" cm="1">
        <f t="array" ref="ZV22">IF(ZV$21&lt;&gt;"",_xlfn.UNIQUE(_xlfn._xlws.FILTER(RAW[[#All],[Room Type]],RAW[[#All],[Hotel / Resort Name ]]=Sheet2!ZV$21)),"")</f>
        <v/>
      </c>
      <c r="ZW22" t="str" cm="1">
        <f t="array" ref="ZW22">IF(ZW$21&lt;&gt;"",_xlfn.UNIQUE(_xlfn._xlws.FILTER(RAW[[#All],[Room Type]],RAW[[#All],[Hotel / Resort Name ]]=Sheet2!ZW$21)),"")</f>
        <v/>
      </c>
      <c r="ZX22" t="str" cm="1">
        <f t="array" ref="ZX22">IF(ZX$21&lt;&gt;"",_xlfn.UNIQUE(_xlfn._xlws.FILTER(RAW[[#All],[Room Type]],RAW[[#All],[Hotel / Resort Name ]]=Sheet2!ZX$21)),"")</f>
        <v/>
      </c>
      <c r="ZY22" t="str" cm="1">
        <f t="array" ref="ZY22">IF(ZY$21&lt;&gt;"",_xlfn.UNIQUE(_xlfn._xlws.FILTER(RAW[[#All],[Room Type]],RAW[[#All],[Hotel / Resort Name ]]=Sheet2!ZY$21)),"")</f>
        <v/>
      </c>
      <c r="ZZ22" t="str" cm="1">
        <f t="array" ref="ZZ22">IF(ZZ$21&lt;&gt;"",_xlfn.UNIQUE(_xlfn._xlws.FILTER(RAW[[#All],[Room Type]],RAW[[#All],[Hotel / Resort Name ]]=Sheet2!ZZ$21)),"")</f>
        <v/>
      </c>
      <c r="AAA22" t="str" cm="1">
        <f t="array" ref="AAA22">IF(AAA$21&lt;&gt;"",_xlfn.UNIQUE(_xlfn._xlws.FILTER(RAW[[#All],[Room Type]],RAW[[#All],[Hotel / Resort Name ]]=Sheet2!AAA$21)),"")</f>
        <v/>
      </c>
      <c r="AAB22" t="str" cm="1">
        <f t="array" ref="AAB22">IF(AAB$21&lt;&gt;"",_xlfn.UNIQUE(_xlfn._xlws.FILTER(RAW[[#All],[Room Type]],RAW[[#All],[Hotel / Resort Name ]]=Sheet2!AAB$21)),"")</f>
        <v/>
      </c>
      <c r="AAC22" t="str" cm="1">
        <f t="array" ref="AAC22">IF(AAC$21&lt;&gt;"",_xlfn.UNIQUE(_xlfn._xlws.FILTER(RAW[[#All],[Room Type]],RAW[[#All],[Hotel / Resort Name ]]=Sheet2!AAC$21)),"")</f>
        <v/>
      </c>
      <c r="AAD22" t="str" cm="1">
        <f t="array" ref="AAD22">IF(AAD$21&lt;&gt;"",_xlfn.UNIQUE(_xlfn._xlws.FILTER(RAW[[#All],[Room Type]],RAW[[#All],[Hotel / Resort Name ]]=Sheet2!AAD$21)),"")</f>
        <v/>
      </c>
      <c r="AAE22" t="str" cm="1">
        <f t="array" ref="AAE22">IF(AAE$21&lt;&gt;"",_xlfn.UNIQUE(_xlfn._xlws.FILTER(RAW[[#All],[Room Type]],RAW[[#All],[Hotel / Resort Name ]]=Sheet2!AAE$21)),"")</f>
        <v/>
      </c>
      <c r="AAF22" t="str" cm="1">
        <f t="array" ref="AAF22">IF(AAF$21&lt;&gt;"",_xlfn.UNIQUE(_xlfn._xlws.FILTER(RAW[[#All],[Room Type]],RAW[[#All],[Hotel / Resort Name ]]=Sheet2!AAF$21)),"")</f>
        <v/>
      </c>
      <c r="AAG22" t="str" cm="1">
        <f t="array" ref="AAG22">IF(AAG$21&lt;&gt;"",_xlfn.UNIQUE(_xlfn._xlws.FILTER(RAW[[#All],[Room Type]],RAW[[#All],[Hotel / Resort Name ]]=Sheet2!AAG$21)),"")</f>
        <v/>
      </c>
      <c r="AAH22" t="str" cm="1">
        <f t="array" ref="AAH22">IF(AAH$21&lt;&gt;"",_xlfn.UNIQUE(_xlfn._xlws.FILTER(RAW[[#All],[Room Type]],RAW[[#All],[Hotel / Resort Name ]]=Sheet2!AAH$21)),"")</f>
        <v/>
      </c>
      <c r="AAI22" t="str" cm="1">
        <f t="array" ref="AAI22">IF(AAI$21&lt;&gt;"",_xlfn.UNIQUE(_xlfn._xlws.FILTER(RAW[[#All],[Room Type]],RAW[[#All],[Hotel / Resort Name ]]=Sheet2!AAI$21)),"")</f>
        <v/>
      </c>
      <c r="AAJ22" t="str" cm="1">
        <f t="array" ref="AAJ22">IF(AAJ$21&lt;&gt;"",_xlfn.UNIQUE(_xlfn._xlws.FILTER(RAW[[#All],[Room Type]],RAW[[#All],[Hotel / Resort Name ]]=Sheet2!AAJ$21)),"")</f>
        <v/>
      </c>
      <c r="AAK22" t="str" cm="1">
        <f t="array" ref="AAK22">IF(AAK$21&lt;&gt;"",_xlfn.UNIQUE(_xlfn._xlws.FILTER(RAW[[#All],[Room Type]],RAW[[#All],[Hotel / Resort Name ]]=Sheet2!AAK$21)),"")</f>
        <v/>
      </c>
      <c r="AAL22" t="str" cm="1">
        <f t="array" ref="AAL22">IF(AAL$21&lt;&gt;"",_xlfn.UNIQUE(_xlfn._xlws.FILTER(RAW[[#All],[Room Type]],RAW[[#All],[Hotel / Resort Name ]]=Sheet2!AAL$21)),"")</f>
        <v/>
      </c>
      <c r="AAM22" t="str" cm="1">
        <f t="array" ref="AAM22">IF(AAM$21&lt;&gt;"",_xlfn.UNIQUE(_xlfn._xlws.FILTER(RAW[[#All],[Room Type]],RAW[[#All],[Hotel / Resort Name ]]=Sheet2!AAM$21)),"")</f>
        <v/>
      </c>
      <c r="AAN22" t="str" cm="1">
        <f t="array" ref="AAN22">IF(AAN$21&lt;&gt;"",_xlfn.UNIQUE(_xlfn._xlws.FILTER(RAW[[#All],[Room Type]],RAW[[#All],[Hotel / Resort Name ]]=Sheet2!AAN$21)),"")</f>
        <v/>
      </c>
      <c r="AAO22" t="str" cm="1">
        <f t="array" ref="AAO22">IF(AAO$21&lt;&gt;"",_xlfn.UNIQUE(_xlfn._xlws.FILTER(RAW[[#All],[Room Type]],RAW[[#All],[Hotel / Resort Name ]]=Sheet2!AAO$21)),"")</f>
        <v/>
      </c>
      <c r="AAP22" t="str" cm="1">
        <f t="array" ref="AAP22">IF(AAP$21&lt;&gt;"",_xlfn.UNIQUE(_xlfn._xlws.FILTER(RAW[[#All],[Room Type]],RAW[[#All],[Hotel / Resort Name ]]=Sheet2!AAP$21)),"")</f>
        <v/>
      </c>
      <c r="AAQ22" t="str" cm="1">
        <f t="array" ref="AAQ22">IF(AAQ$21&lt;&gt;"",_xlfn.UNIQUE(_xlfn._xlws.FILTER(RAW[[#All],[Room Type]],RAW[[#All],[Hotel / Resort Name ]]=Sheet2!AAQ$21)),"")</f>
        <v/>
      </c>
      <c r="AAR22" t="str" cm="1">
        <f t="array" ref="AAR22">IF(AAR$21&lt;&gt;"",_xlfn.UNIQUE(_xlfn._xlws.FILTER(RAW[[#All],[Room Type]],RAW[[#All],[Hotel / Resort Name ]]=Sheet2!AAR$21)),"")</f>
        <v/>
      </c>
      <c r="AAS22" t="str" cm="1">
        <f t="array" ref="AAS22">IF(AAS$21&lt;&gt;"",_xlfn.UNIQUE(_xlfn._xlws.FILTER(RAW[[#All],[Room Type]],RAW[[#All],[Hotel / Resort Name ]]=Sheet2!AAS$21)),"")</f>
        <v/>
      </c>
      <c r="AAT22" t="str" cm="1">
        <f t="array" ref="AAT22">IF(AAT$21&lt;&gt;"",_xlfn.UNIQUE(_xlfn._xlws.FILTER(RAW[[#All],[Room Type]],RAW[[#All],[Hotel / Resort Name ]]=Sheet2!AAT$21)),"")</f>
        <v/>
      </c>
      <c r="AAU22" t="str" cm="1">
        <f t="array" ref="AAU22">IF(AAU$21&lt;&gt;"",_xlfn.UNIQUE(_xlfn._xlws.FILTER(RAW[[#All],[Room Type]],RAW[[#All],[Hotel / Resort Name ]]=Sheet2!AAU$21)),"")</f>
        <v/>
      </c>
      <c r="AAV22" t="str" cm="1">
        <f t="array" ref="AAV22">IF(AAV$21&lt;&gt;"",_xlfn.UNIQUE(_xlfn._xlws.FILTER(RAW[[#All],[Room Type]],RAW[[#All],[Hotel / Resort Name ]]=Sheet2!AAV$21)),"")</f>
        <v/>
      </c>
      <c r="AAW22" t="str" cm="1">
        <f t="array" ref="AAW22">IF(AAW$21&lt;&gt;"",_xlfn.UNIQUE(_xlfn._xlws.FILTER(RAW[[#All],[Room Type]],RAW[[#All],[Hotel / Resort Name ]]=Sheet2!AAW$21)),"")</f>
        <v/>
      </c>
      <c r="AAX22" t="str" cm="1">
        <f t="array" ref="AAX22">IF(AAX$21&lt;&gt;"",_xlfn.UNIQUE(_xlfn._xlws.FILTER(RAW[[#All],[Room Type]],RAW[[#All],[Hotel / Resort Name ]]=Sheet2!AAX$21)),"")</f>
        <v/>
      </c>
      <c r="AAY22" t="str" cm="1">
        <f t="array" ref="AAY22">IF(AAY$21&lt;&gt;"",_xlfn.UNIQUE(_xlfn._xlws.FILTER(RAW[[#All],[Room Type]],RAW[[#All],[Hotel / Resort Name ]]=Sheet2!AAY$21)),"")</f>
        <v/>
      </c>
      <c r="AAZ22" t="str" cm="1">
        <f t="array" ref="AAZ22">IF(AAZ$21&lt;&gt;"",_xlfn.UNIQUE(_xlfn._xlws.FILTER(RAW[[#All],[Room Type]],RAW[[#All],[Hotel / Resort Name ]]=Sheet2!AAZ$21)),"")</f>
        <v/>
      </c>
      <c r="ABA22" t="str" cm="1">
        <f t="array" ref="ABA22">IF(ABA$21&lt;&gt;"",_xlfn.UNIQUE(_xlfn._xlws.FILTER(RAW[[#All],[Room Type]],RAW[[#All],[Hotel / Resort Name ]]=Sheet2!ABA$21)),"")</f>
        <v/>
      </c>
      <c r="ABB22" t="str" cm="1">
        <f t="array" ref="ABB22">IF(ABB$21&lt;&gt;"",_xlfn.UNIQUE(_xlfn._xlws.FILTER(RAW[[#All],[Room Type]],RAW[[#All],[Hotel / Resort Name ]]=Sheet2!ABB$21)),"")</f>
        <v/>
      </c>
      <c r="ABC22" t="str" cm="1">
        <f t="array" ref="ABC22">IF(ABC$21&lt;&gt;"",_xlfn.UNIQUE(_xlfn._xlws.FILTER(RAW[[#All],[Room Type]],RAW[[#All],[Hotel / Resort Name ]]=Sheet2!ABC$21)),"")</f>
        <v/>
      </c>
      <c r="ABD22" t="str" cm="1">
        <f t="array" ref="ABD22">IF(ABD$21&lt;&gt;"",_xlfn.UNIQUE(_xlfn._xlws.FILTER(RAW[[#All],[Room Type]],RAW[[#All],[Hotel / Resort Name ]]=Sheet2!ABD$21)),"")</f>
        <v/>
      </c>
      <c r="ABE22" t="str" cm="1">
        <f t="array" ref="ABE22">IF(ABE$21&lt;&gt;"",_xlfn.UNIQUE(_xlfn._xlws.FILTER(RAW[[#All],[Room Type]],RAW[[#All],[Hotel / Resort Name ]]=Sheet2!ABE$21)),"")</f>
        <v/>
      </c>
      <c r="ABF22" t="str" cm="1">
        <f t="array" ref="ABF22">IF(ABF$21&lt;&gt;"",_xlfn.UNIQUE(_xlfn._xlws.FILTER(RAW[[#All],[Room Type]],RAW[[#All],[Hotel / Resort Name ]]=Sheet2!ABF$21)),"")</f>
        <v/>
      </c>
      <c r="ABG22" t="str" cm="1">
        <f t="array" ref="ABG22">IF(ABG$21&lt;&gt;"",_xlfn.UNIQUE(_xlfn._xlws.FILTER(RAW[[#All],[Room Type]],RAW[[#All],[Hotel / Resort Name ]]=Sheet2!ABG$21)),"")</f>
        <v/>
      </c>
      <c r="ABH22" t="str" cm="1">
        <f t="array" ref="ABH22">IF(ABH$21&lt;&gt;"",_xlfn.UNIQUE(_xlfn._xlws.FILTER(RAW[[#All],[Room Type]],RAW[[#All],[Hotel / Resort Name ]]=Sheet2!ABH$21)),"")</f>
        <v/>
      </c>
      <c r="ABI22" t="str" cm="1">
        <f t="array" ref="ABI22">IF(ABI$21&lt;&gt;"",_xlfn.UNIQUE(_xlfn._xlws.FILTER(RAW[[#All],[Room Type]],RAW[[#All],[Hotel / Resort Name ]]=Sheet2!ABI$21)),"")</f>
        <v/>
      </c>
      <c r="ABJ22" t="str" cm="1">
        <f t="array" ref="ABJ22">IF(ABJ$21&lt;&gt;"",_xlfn.UNIQUE(_xlfn._xlws.FILTER(RAW[[#All],[Room Type]],RAW[[#All],[Hotel / Resort Name ]]=Sheet2!ABJ$21)),"")</f>
        <v/>
      </c>
      <c r="ABK22" t="str" cm="1">
        <f t="array" ref="ABK22">IF(ABK$21&lt;&gt;"",_xlfn.UNIQUE(_xlfn._xlws.FILTER(RAW[[#All],[Room Type]],RAW[[#All],[Hotel / Resort Name ]]=Sheet2!ABK$21)),"")</f>
        <v/>
      </c>
      <c r="ABL22" t="str" cm="1">
        <f t="array" ref="ABL22">IF(ABL$21&lt;&gt;"",_xlfn.UNIQUE(_xlfn._xlws.FILTER(RAW[[#All],[Room Type]],RAW[[#All],[Hotel / Resort Name ]]=Sheet2!ABL$21)),"")</f>
        <v/>
      </c>
      <c r="ABM22" t="str" cm="1">
        <f t="array" ref="ABM22">IF(ABM$21&lt;&gt;"",_xlfn.UNIQUE(_xlfn._xlws.FILTER(RAW[[#All],[Room Type]],RAW[[#All],[Hotel / Resort Name ]]=Sheet2!ABM$21)),"")</f>
        <v/>
      </c>
      <c r="ABN22" t="str" cm="1">
        <f t="array" ref="ABN22">IF(ABN$21&lt;&gt;"",_xlfn.UNIQUE(_xlfn._xlws.FILTER(RAW[[#All],[Room Type]],RAW[[#All],[Hotel / Resort Name ]]=Sheet2!ABN$21)),"")</f>
        <v/>
      </c>
      <c r="ABO22" t="str" cm="1">
        <f t="array" ref="ABO22">IF(ABO$21&lt;&gt;"",_xlfn.UNIQUE(_xlfn._xlws.FILTER(RAW[[#All],[Room Type]],RAW[[#All],[Hotel / Resort Name ]]=Sheet2!ABO$21)),"")</f>
        <v/>
      </c>
      <c r="ABP22" t="str" cm="1">
        <f t="array" ref="ABP22">IF(ABP$21&lt;&gt;"",_xlfn.UNIQUE(_xlfn._xlws.FILTER(RAW[[#All],[Room Type]],RAW[[#All],[Hotel / Resort Name ]]=Sheet2!ABP$21)),"")</f>
        <v/>
      </c>
      <c r="ABQ22" t="str" cm="1">
        <f t="array" ref="ABQ22">IF(ABQ$21&lt;&gt;"",_xlfn.UNIQUE(_xlfn._xlws.FILTER(RAW[[#All],[Room Type]],RAW[[#All],[Hotel / Resort Name ]]=Sheet2!ABQ$21)),"")</f>
        <v/>
      </c>
      <c r="ABR22" t="str" cm="1">
        <f t="array" ref="ABR22">IF(ABR$21&lt;&gt;"",_xlfn.UNIQUE(_xlfn._xlws.FILTER(RAW[[#All],[Room Type]],RAW[[#All],[Hotel / Resort Name ]]=Sheet2!ABR$21)),"")</f>
        <v/>
      </c>
      <c r="ABS22" t="str" cm="1">
        <f t="array" ref="ABS22">IF(ABS$21&lt;&gt;"",_xlfn.UNIQUE(_xlfn._xlws.FILTER(RAW[[#All],[Room Type]],RAW[[#All],[Hotel / Resort Name ]]=Sheet2!ABS$21)),"")</f>
        <v/>
      </c>
      <c r="ABT22" t="str" cm="1">
        <f t="array" ref="ABT22">IF(ABT$21&lt;&gt;"",_xlfn.UNIQUE(_xlfn._xlws.FILTER(RAW[[#All],[Room Type]],RAW[[#All],[Hotel / Resort Name ]]=Sheet2!ABT$21)),"")</f>
        <v/>
      </c>
      <c r="ABU22" t="str" cm="1">
        <f t="array" ref="ABU22">IF(ABU$21&lt;&gt;"",_xlfn.UNIQUE(_xlfn._xlws.FILTER(RAW[[#All],[Room Type]],RAW[[#All],[Hotel / Resort Name ]]=Sheet2!ABU$21)),"")</f>
        <v/>
      </c>
      <c r="ABV22" t="str" cm="1">
        <f t="array" ref="ABV22">IF(ABV$21&lt;&gt;"",_xlfn.UNIQUE(_xlfn._xlws.FILTER(RAW[[#All],[Room Type]],RAW[[#All],[Hotel / Resort Name ]]=Sheet2!ABV$21)),"")</f>
        <v/>
      </c>
      <c r="ABW22" t="str" cm="1">
        <f t="array" ref="ABW22">IF(ABW$21&lt;&gt;"",_xlfn.UNIQUE(_xlfn._xlws.FILTER(RAW[[#All],[Room Type]],RAW[[#All],[Hotel / Resort Name ]]=Sheet2!ABW$21)),"")</f>
        <v/>
      </c>
      <c r="ABX22" t="str" cm="1">
        <f t="array" ref="ABX22">IF(ABX$21&lt;&gt;"",_xlfn.UNIQUE(_xlfn._xlws.FILTER(RAW[[#All],[Room Type]],RAW[[#All],[Hotel / Resort Name ]]=Sheet2!ABX$21)),"")</f>
        <v/>
      </c>
      <c r="ABY22" t="str" cm="1">
        <f t="array" ref="ABY22">IF(ABY$21&lt;&gt;"",_xlfn.UNIQUE(_xlfn._xlws.FILTER(RAW[[#All],[Room Type]],RAW[[#All],[Hotel / Resort Name ]]=Sheet2!ABY$21)),"")</f>
        <v/>
      </c>
      <c r="ABZ22" t="str" cm="1">
        <f t="array" ref="ABZ22">IF(ABZ$21&lt;&gt;"",_xlfn.UNIQUE(_xlfn._xlws.FILTER(RAW[[#All],[Room Type]],RAW[[#All],[Hotel / Resort Name ]]=Sheet2!ABZ$21)),"")</f>
        <v/>
      </c>
      <c r="ACA22" t="str" cm="1">
        <f t="array" ref="ACA22">IF(ACA$21&lt;&gt;"",_xlfn.UNIQUE(_xlfn._xlws.FILTER(RAW[[#All],[Room Type]],RAW[[#All],[Hotel / Resort Name ]]=Sheet2!ACA$21)),"")</f>
        <v/>
      </c>
      <c r="ACB22" t="str" cm="1">
        <f t="array" ref="ACB22">IF(ACB$21&lt;&gt;"",_xlfn.UNIQUE(_xlfn._xlws.FILTER(RAW[[#All],[Room Type]],RAW[[#All],[Hotel / Resort Name ]]=Sheet2!ACB$21)),"")</f>
        <v/>
      </c>
      <c r="ACC22" t="str" cm="1">
        <f t="array" ref="ACC22">IF(ACC$21&lt;&gt;"",_xlfn.UNIQUE(_xlfn._xlws.FILTER(RAW[[#All],[Room Type]],RAW[[#All],[Hotel / Resort Name ]]=Sheet2!ACC$21)),"")</f>
        <v/>
      </c>
      <c r="ACD22" t="str" cm="1">
        <f t="array" ref="ACD22">IF(ACD$21&lt;&gt;"",_xlfn.UNIQUE(_xlfn._xlws.FILTER(RAW[[#All],[Room Type]],RAW[[#All],[Hotel / Resort Name ]]=Sheet2!ACD$21)),"")</f>
        <v/>
      </c>
      <c r="ACE22" t="str" cm="1">
        <f t="array" ref="ACE22">IF(ACE$21&lt;&gt;"",_xlfn.UNIQUE(_xlfn._xlws.FILTER(RAW[[#All],[Room Type]],RAW[[#All],[Hotel / Resort Name ]]=Sheet2!ACE$21)),"")</f>
        <v/>
      </c>
      <c r="ACF22" t="str" cm="1">
        <f t="array" ref="ACF22">IF(ACF$21&lt;&gt;"",_xlfn.UNIQUE(_xlfn._xlws.FILTER(RAW[[#All],[Room Type]],RAW[[#All],[Hotel / Resort Name ]]=Sheet2!ACF$21)),"")</f>
        <v/>
      </c>
      <c r="ACG22" t="str" cm="1">
        <f t="array" ref="ACG22">IF(ACG$21&lt;&gt;"",_xlfn.UNIQUE(_xlfn._xlws.FILTER(RAW[[#All],[Room Type]],RAW[[#All],[Hotel / Resort Name ]]=Sheet2!ACG$21)),"")</f>
        <v/>
      </c>
      <c r="ACH22" t="str" cm="1">
        <f t="array" ref="ACH22">IF(ACH$21&lt;&gt;"",_xlfn.UNIQUE(_xlfn._xlws.FILTER(RAW[[#All],[Room Type]],RAW[[#All],[Hotel / Resort Name ]]=Sheet2!ACH$21)),"")</f>
        <v/>
      </c>
      <c r="ACI22" t="str" cm="1">
        <f t="array" ref="ACI22">IF(ACI$21&lt;&gt;"",_xlfn.UNIQUE(_xlfn._xlws.FILTER(RAW[[#All],[Room Type]],RAW[[#All],[Hotel / Resort Name ]]=Sheet2!ACI$21)),"")</f>
        <v/>
      </c>
      <c r="ACJ22" t="str" cm="1">
        <f t="array" ref="ACJ22">IF(ACJ$21&lt;&gt;"",_xlfn.UNIQUE(_xlfn._xlws.FILTER(RAW[[#All],[Room Type]],RAW[[#All],[Hotel / Resort Name ]]=Sheet2!ACJ$21)),"")</f>
        <v/>
      </c>
      <c r="ACK22" t="str" cm="1">
        <f t="array" ref="ACK22">IF(ACK$21&lt;&gt;"",_xlfn.UNIQUE(_xlfn._xlws.FILTER(RAW[[#All],[Room Type]],RAW[[#All],[Hotel / Resort Name ]]=Sheet2!ACK$21)),"")</f>
        <v/>
      </c>
      <c r="ACL22" t="str" cm="1">
        <f t="array" ref="ACL22">IF(ACL$21&lt;&gt;"",_xlfn.UNIQUE(_xlfn._xlws.FILTER(RAW[[#All],[Room Type]],RAW[[#All],[Hotel / Resort Name ]]=Sheet2!ACL$21)),"")</f>
        <v/>
      </c>
      <c r="ACM22" t="str" cm="1">
        <f t="array" ref="ACM22">IF(ACM$21&lt;&gt;"",_xlfn.UNIQUE(_xlfn._xlws.FILTER(RAW[[#All],[Room Type]],RAW[[#All],[Hotel / Resort Name ]]=Sheet2!ACM$21)),"")</f>
        <v/>
      </c>
      <c r="ACN22" t="str" cm="1">
        <f t="array" ref="ACN22">IF(ACN$21&lt;&gt;"",_xlfn.UNIQUE(_xlfn._xlws.FILTER(RAW[[#All],[Room Type]],RAW[[#All],[Hotel / Resort Name ]]=Sheet2!ACN$21)),"")</f>
        <v/>
      </c>
      <c r="ACO22" t="str" cm="1">
        <f t="array" ref="ACO22">IF(ACO$21&lt;&gt;"",_xlfn.UNIQUE(_xlfn._xlws.FILTER(RAW[[#All],[Room Type]],RAW[[#All],[Hotel / Resort Name ]]=Sheet2!ACO$21)),"")</f>
        <v/>
      </c>
      <c r="ACP22" t="str" cm="1">
        <f t="array" ref="ACP22">IF(ACP$21&lt;&gt;"",_xlfn.UNIQUE(_xlfn._xlws.FILTER(RAW[[#All],[Room Type]],RAW[[#All],[Hotel / Resort Name ]]=Sheet2!ACP$21)),"")</f>
        <v/>
      </c>
      <c r="ACQ22" t="str" cm="1">
        <f t="array" ref="ACQ22">IF(ACQ$21&lt;&gt;"",_xlfn.UNIQUE(_xlfn._xlws.FILTER(RAW[[#All],[Room Type]],RAW[[#All],[Hotel / Resort Name ]]=Sheet2!ACQ$21)),"")</f>
        <v/>
      </c>
      <c r="ACR22" t="str" cm="1">
        <f t="array" ref="ACR22">IF(ACR$21&lt;&gt;"",_xlfn.UNIQUE(_xlfn._xlws.FILTER(RAW[[#All],[Room Type]],RAW[[#All],[Hotel / Resort Name ]]=Sheet2!ACR$21)),"")</f>
        <v/>
      </c>
      <c r="ACS22" t="str" cm="1">
        <f t="array" ref="ACS22">IF(ACS$21&lt;&gt;"",_xlfn.UNIQUE(_xlfn._xlws.FILTER(RAW[[#All],[Room Type]],RAW[[#All],[Hotel / Resort Name ]]=Sheet2!ACS$21)),"")</f>
        <v/>
      </c>
      <c r="ACT22" t="str" cm="1">
        <f t="array" ref="ACT22">IF(ACT$21&lt;&gt;"",_xlfn.UNIQUE(_xlfn._xlws.FILTER(RAW[[#All],[Room Type]],RAW[[#All],[Hotel / Resort Name ]]=Sheet2!ACT$21)),"")</f>
        <v/>
      </c>
      <c r="ACU22" t="str" cm="1">
        <f t="array" ref="ACU22">IF(ACU$21&lt;&gt;"",_xlfn.UNIQUE(_xlfn._xlws.FILTER(RAW[[#All],[Room Type]],RAW[[#All],[Hotel / Resort Name ]]=Sheet2!ACU$21)),"")</f>
        <v/>
      </c>
      <c r="ACV22" t="str" cm="1">
        <f t="array" ref="ACV22">IF(ACV$21&lt;&gt;"",_xlfn.UNIQUE(_xlfn._xlws.FILTER(RAW[[#All],[Room Type]],RAW[[#All],[Hotel / Resort Name ]]=Sheet2!ACV$21)),"")</f>
        <v/>
      </c>
      <c r="ACW22" t="str" cm="1">
        <f t="array" ref="ACW22">IF(ACW$21&lt;&gt;"",_xlfn.UNIQUE(_xlfn._xlws.FILTER(RAW[[#All],[Room Type]],RAW[[#All],[Hotel / Resort Name ]]=Sheet2!ACW$21)),"")</f>
        <v/>
      </c>
      <c r="ACX22" t="str" cm="1">
        <f t="array" ref="ACX22">IF(ACX$21&lt;&gt;"",_xlfn.UNIQUE(_xlfn._xlws.FILTER(RAW[[#All],[Room Type]],RAW[[#All],[Hotel / Resort Name ]]=Sheet2!ACX$21)),"")</f>
        <v/>
      </c>
      <c r="ACY22" t="str" cm="1">
        <f t="array" ref="ACY22">IF(ACY$21&lt;&gt;"",_xlfn.UNIQUE(_xlfn._xlws.FILTER(RAW[[#All],[Room Type]],RAW[[#All],[Hotel / Resort Name ]]=Sheet2!ACY$21)),"")</f>
        <v/>
      </c>
      <c r="ACZ22" t="str" cm="1">
        <f t="array" ref="ACZ22">IF(ACZ$21&lt;&gt;"",_xlfn.UNIQUE(_xlfn._xlws.FILTER(RAW[[#All],[Room Type]],RAW[[#All],[Hotel / Resort Name ]]=Sheet2!ACZ$21)),"")</f>
        <v/>
      </c>
      <c r="ADA22" t="str" cm="1">
        <f t="array" ref="ADA22">IF(ADA$21&lt;&gt;"",_xlfn.UNIQUE(_xlfn._xlws.FILTER(RAW[[#All],[Room Type]],RAW[[#All],[Hotel / Resort Name ]]=Sheet2!ADA$21)),"")</f>
        <v/>
      </c>
      <c r="ADB22" t="str" cm="1">
        <f t="array" ref="ADB22">IF(ADB$21&lt;&gt;"",_xlfn.UNIQUE(_xlfn._xlws.FILTER(RAW[[#All],[Room Type]],RAW[[#All],[Hotel / Resort Name ]]=Sheet2!ADB$21)),"")</f>
        <v/>
      </c>
      <c r="ADC22" t="str" cm="1">
        <f t="array" ref="ADC22">IF(ADC$21&lt;&gt;"",_xlfn.UNIQUE(_xlfn._xlws.FILTER(RAW[[#All],[Room Type]],RAW[[#All],[Hotel / Resort Name ]]=Sheet2!ADC$21)),"")</f>
        <v/>
      </c>
      <c r="ADD22" t="str" cm="1">
        <f t="array" ref="ADD22">IF(ADD$21&lt;&gt;"",_xlfn.UNIQUE(_xlfn._xlws.FILTER(RAW[[#All],[Room Type]],RAW[[#All],[Hotel / Resort Name ]]=Sheet2!ADD$21)),"")</f>
        <v/>
      </c>
      <c r="ADE22" t="str" cm="1">
        <f t="array" ref="ADE22">IF(ADE$21&lt;&gt;"",_xlfn.UNIQUE(_xlfn._xlws.FILTER(RAW[[#All],[Room Type]],RAW[[#All],[Hotel / Resort Name ]]=Sheet2!ADE$21)),"")</f>
        <v/>
      </c>
      <c r="ADF22" t="str" cm="1">
        <f t="array" ref="ADF22">IF(ADF$21&lt;&gt;"",_xlfn.UNIQUE(_xlfn._xlws.FILTER(RAW[[#All],[Room Type]],RAW[[#All],[Hotel / Resort Name ]]=Sheet2!ADF$21)),"")</f>
        <v/>
      </c>
      <c r="ADG22" t="str" cm="1">
        <f t="array" ref="ADG22">IF(ADG$21&lt;&gt;"",_xlfn.UNIQUE(_xlfn._xlws.FILTER(RAW[[#All],[Room Type]],RAW[[#All],[Hotel / Resort Name ]]=Sheet2!ADG$21)),"")</f>
        <v/>
      </c>
    </row>
    <row r="23" spans="1:787" x14ac:dyDescent="0.3">
      <c r="A23" t="str">
        <f>IF(B23="","",_xlfn.XLOOKUP(B23,'Raw'!D:D,'Raw'!B:B))</f>
        <v/>
      </c>
      <c r="C23" t="e">
        <f>VLOOKUP(B23,RAW[[Hotel Code]:[Hotel / Resort Name ]],2,0)</f>
        <v>#N/A</v>
      </c>
      <c r="D23" t="str">
        <f t="shared" ref="D23:F54" si="1">$A23&amp;D$21</f>
        <v>Premium</v>
      </c>
      <c r="E23" t="str">
        <f t="shared" si="0"/>
        <v>Budget</v>
      </c>
      <c r="F23" t="str">
        <f t="shared" si="0"/>
        <v>Standard</v>
      </c>
      <c r="G23" t="s">
        <v>114</v>
      </c>
      <c r="J23" t="str">
        <v>Standard</v>
      </c>
      <c r="K23" t="str">
        <v>Budget</v>
      </c>
      <c r="L23" t="str">
        <v>Budget</v>
      </c>
      <c r="M23" t="str">
        <v>Standard</v>
      </c>
      <c r="N23" t="str">
        <v>Premium</v>
      </c>
      <c r="O23" t="str">
        <v>Premium</v>
      </c>
      <c r="P23" t="str">
        <v>Standard</v>
      </c>
      <c r="Q23" t="str">
        <v>Standard</v>
      </c>
      <c r="R23" t="str">
        <v>Budget</v>
      </c>
      <c r="Z23" t="str">
        <v>Premium</v>
      </c>
    </row>
    <row r="24" spans="1:787" x14ac:dyDescent="0.3">
      <c r="A24" t="str">
        <f>IF(B24="","",_xlfn.XLOOKUP(B24,'Raw'!D:D,'Raw'!B:B))</f>
        <v/>
      </c>
      <c r="C24" t="e">
        <f>VLOOKUP(B24,RAW[[Hotel Code]:[Hotel / Resort Name ]],2,0)</f>
        <v>#N/A</v>
      </c>
      <c r="D24" t="str">
        <f t="shared" si="1"/>
        <v>Premium</v>
      </c>
      <c r="E24" t="str">
        <f t="shared" si="0"/>
        <v>Budget</v>
      </c>
      <c r="F24" t="str">
        <f t="shared" si="0"/>
        <v>Standard</v>
      </c>
      <c r="G24" t="s">
        <v>115</v>
      </c>
      <c r="J24" t="str">
        <v>Premium</v>
      </c>
      <c r="L24" t="str">
        <v>Premium</v>
      </c>
      <c r="M24" t="str">
        <v>Premium</v>
      </c>
      <c r="N24" t="str">
        <v>Budget</v>
      </c>
      <c r="P24" t="str">
        <v>Budget</v>
      </c>
      <c r="R24" t="str">
        <v>Premium</v>
      </c>
      <c r="Z24" t="str">
        <v>Standard</v>
      </c>
    </row>
    <row r="25" spans="1:787" x14ac:dyDescent="0.3">
      <c r="A25" t="str">
        <f>IF(B25="","",_xlfn.XLOOKUP(B25,'Raw'!D:D,'Raw'!B:B))</f>
        <v/>
      </c>
      <c r="C25" t="e">
        <f>VLOOKUP(B25,RAW[[Hotel Code]:[Hotel / Resort Name ]],2,0)</f>
        <v>#N/A</v>
      </c>
      <c r="D25" t="str">
        <f t="shared" si="1"/>
        <v>Premium</v>
      </c>
      <c r="E25" t="str">
        <f t="shared" si="0"/>
        <v>Budget</v>
      </c>
      <c r="F25" t="str">
        <f t="shared" si="0"/>
        <v>Standard</v>
      </c>
      <c r="G25" t="s">
        <v>231</v>
      </c>
    </row>
    <row r="26" spans="1:787" x14ac:dyDescent="0.3">
      <c r="A26" t="str">
        <f>IF(B26="","",_xlfn.XLOOKUP(B26,'Raw'!D:D,'Raw'!B:B))</f>
        <v/>
      </c>
      <c r="C26" t="e">
        <f>VLOOKUP(B26,RAW[[Hotel Code]:[Hotel / Resort Name ]],2,0)</f>
        <v>#N/A</v>
      </c>
      <c r="D26" t="str">
        <f t="shared" si="1"/>
        <v>Premium</v>
      </c>
      <c r="E26" t="str">
        <f t="shared" si="0"/>
        <v>Budget</v>
      </c>
      <c r="F26" t="str">
        <f t="shared" si="0"/>
        <v>Standard</v>
      </c>
      <c r="G26" t="s">
        <v>236</v>
      </c>
    </row>
    <row r="27" spans="1:787" x14ac:dyDescent="0.3">
      <c r="A27" t="str">
        <f>IF(B27="","",_xlfn.XLOOKUP(B27,'Raw'!D:D,'Raw'!B:B))</f>
        <v/>
      </c>
      <c r="C27" t="e">
        <f>VLOOKUP(B27,RAW[[Hotel Code]:[Hotel / Resort Name ]],2,0)</f>
        <v>#N/A</v>
      </c>
      <c r="D27" t="str">
        <f t="shared" si="1"/>
        <v>Premium</v>
      </c>
      <c r="E27" t="str">
        <f t="shared" si="0"/>
        <v>Budget</v>
      </c>
      <c r="F27" t="str">
        <f t="shared" si="0"/>
        <v>Standard</v>
      </c>
      <c r="G27" t="s">
        <v>429</v>
      </c>
    </row>
    <row r="28" spans="1:787" x14ac:dyDescent="0.3">
      <c r="A28" t="str">
        <f>IF(B28="","",_xlfn.XLOOKUP(B28,'Raw'!D:D,'Raw'!B:B))</f>
        <v/>
      </c>
      <c r="C28" t="e">
        <f>VLOOKUP(B28,RAW[[Hotel Code]:[Hotel / Resort Name ]],2,0)</f>
        <v>#N/A</v>
      </c>
      <c r="D28" t="str">
        <f t="shared" si="1"/>
        <v>Premium</v>
      </c>
      <c r="E28" t="str">
        <f t="shared" si="0"/>
        <v>Budget</v>
      </c>
      <c r="F28" t="str">
        <f t="shared" si="0"/>
        <v>Standard</v>
      </c>
      <c r="G28" t="s">
        <v>272</v>
      </c>
    </row>
    <row r="29" spans="1:787" x14ac:dyDescent="0.3">
      <c r="A29" t="str">
        <f>IF(B29="","",_xlfn.XLOOKUP(B29,'Raw'!D:D,'Raw'!B:B))</f>
        <v/>
      </c>
      <c r="C29" t="e">
        <f>VLOOKUP(B29,RAW[[Hotel Code]:[Hotel / Resort Name ]],2,0)</f>
        <v>#N/A</v>
      </c>
      <c r="D29" t="str">
        <f t="shared" si="1"/>
        <v>Premium</v>
      </c>
      <c r="E29" t="str">
        <f t="shared" si="0"/>
        <v>Budget</v>
      </c>
      <c r="F29" t="str">
        <f t="shared" si="0"/>
        <v>Standard</v>
      </c>
      <c r="G29" t="s">
        <v>271</v>
      </c>
    </row>
    <row r="30" spans="1:787" x14ac:dyDescent="0.3">
      <c r="A30" t="str">
        <f>IF(B30="","",_xlfn.XLOOKUP(B30,'Raw'!D:D,'Raw'!B:B))</f>
        <v/>
      </c>
      <c r="C30" t="e">
        <f>VLOOKUP(B30,RAW[[Hotel Code]:[Hotel / Resort Name ]],2,0)</f>
        <v>#N/A</v>
      </c>
      <c r="D30" t="str">
        <f t="shared" si="1"/>
        <v>Premium</v>
      </c>
      <c r="E30" t="str">
        <f t="shared" si="0"/>
        <v>Budget</v>
      </c>
      <c r="F30" t="str">
        <f t="shared" si="0"/>
        <v>Standard</v>
      </c>
      <c r="G30" t="s">
        <v>261</v>
      </c>
    </row>
    <row r="31" spans="1:787" x14ac:dyDescent="0.3">
      <c r="A31" t="str">
        <f>IF(B31="","",_xlfn.XLOOKUP(B31,'Raw'!D:D,'Raw'!B:B))</f>
        <v/>
      </c>
      <c r="C31" t="e">
        <f>VLOOKUP(B31,RAW[[Hotel Code]:[Hotel / Resort Name ]],2,0)</f>
        <v>#N/A</v>
      </c>
      <c r="D31" t="str">
        <f t="shared" si="1"/>
        <v>Premium</v>
      </c>
      <c r="E31" t="str">
        <f t="shared" si="0"/>
        <v>Budget</v>
      </c>
      <c r="F31" t="str">
        <f t="shared" si="0"/>
        <v>Standard</v>
      </c>
      <c r="G31" t="s">
        <v>430</v>
      </c>
    </row>
    <row r="32" spans="1:787" x14ac:dyDescent="0.3">
      <c r="A32" t="str">
        <f>IF(B32="","",_xlfn.XLOOKUP(B32,'Raw'!D:D,'Raw'!B:B))</f>
        <v/>
      </c>
      <c r="C32" t="e">
        <f>VLOOKUP(B32,RAW[[Hotel Code]:[Hotel / Resort Name ]],2,0)</f>
        <v>#N/A</v>
      </c>
      <c r="D32" t="str">
        <f t="shared" si="1"/>
        <v>Premium</v>
      </c>
      <c r="E32" t="str">
        <f t="shared" si="0"/>
        <v>Budget</v>
      </c>
      <c r="F32" t="str">
        <f t="shared" si="0"/>
        <v>Standard</v>
      </c>
      <c r="G32" t="s">
        <v>307</v>
      </c>
      <c r="J32" t="str" cm="1">
        <f t="array" ref="J32:BH32">TRANSPOSE(Table5_1[Value])</f>
        <v>Janki ChattiPremium</v>
      </c>
      <c r="K32" t="str">
        <v>Janki ChattiBudget</v>
      </c>
      <c r="L32" t="str">
        <v>Janki ChattiStandard</v>
      </c>
      <c r="M32" t="str">
        <v>KedarnathPremium</v>
      </c>
      <c r="N32" t="str">
        <v>KedarnathBudget</v>
      </c>
      <c r="O32" t="str">
        <v>KedarnathStandard</v>
      </c>
      <c r="P32" t="str">
        <v>UttarkashiPremium</v>
      </c>
      <c r="Q32" t="str">
        <v>UttarkashiBudget</v>
      </c>
      <c r="R32" t="str">
        <v>UttarkashiStandard</v>
      </c>
      <c r="S32" t="str">
        <v>SonprayagPremium</v>
      </c>
      <c r="T32" t="str">
        <v>SonprayagBudget</v>
      </c>
      <c r="U32" t="str">
        <v>SonprayagStandard</v>
      </c>
      <c r="V32" t="str">
        <v>SitapurPremium</v>
      </c>
      <c r="W32" t="str">
        <v>SitapurBudget</v>
      </c>
      <c r="X32" t="str">
        <v>SitapurStandard</v>
      </c>
      <c r="Y32" t="str">
        <v>RudraprayagPremium</v>
      </c>
      <c r="Z32" t="str">
        <v>RudraprayagBudget</v>
      </c>
      <c r="AA32" t="str">
        <v>RudraprayagStandard</v>
      </c>
      <c r="AB32" t="str">
        <v>PipalkotiPremium</v>
      </c>
      <c r="AC32" t="str">
        <v>PipalkotiBudget</v>
      </c>
      <c r="AD32" t="str">
        <v>PipalkotiStandard</v>
      </c>
      <c r="AE32" t="str">
        <v>BadarinathPremium</v>
      </c>
      <c r="AF32" t="str">
        <v>BadarinathBudget</v>
      </c>
      <c r="AG32" t="str">
        <v>BadarinathStandard</v>
      </c>
      <c r="AH32" t="str">
        <v>BarkotPremium</v>
      </c>
      <c r="AI32" t="str">
        <v>BarkotBudget</v>
      </c>
      <c r="AJ32" t="str">
        <v>BarkotStandard</v>
      </c>
      <c r="AK32" t="str">
        <v>PandukeshwarPremium</v>
      </c>
      <c r="AL32" t="str">
        <v>PandukeshwarBudget</v>
      </c>
      <c r="AM32" t="str">
        <v>PandukeshwarStandard</v>
      </c>
      <c r="AN32" t="str">
        <v>GuptkashiPremium</v>
      </c>
      <c r="AO32" t="str">
        <v>GuptkashiBudget</v>
      </c>
      <c r="AP32" t="str">
        <v>GuptkashiStandard</v>
      </c>
      <c r="AQ32" t="str">
        <v>ChoptaPremium</v>
      </c>
      <c r="AR32" t="str">
        <v>ChoptaBudget</v>
      </c>
      <c r="AS32" t="str">
        <v>ChoptaStandard</v>
      </c>
      <c r="AT32" t="str">
        <v>JoshimathPremium</v>
      </c>
      <c r="AU32" t="str">
        <v>JoshimathBudget</v>
      </c>
      <c r="AV32" t="str">
        <v>JoshimathStandard</v>
      </c>
      <c r="AW32" t="str">
        <v>RishikeshPremium</v>
      </c>
      <c r="AX32" t="str">
        <v>RishikeshBudget</v>
      </c>
      <c r="AY32" t="str">
        <v>RishikeshStandard</v>
      </c>
      <c r="AZ32" t="str">
        <v>HarsilPremium</v>
      </c>
      <c r="BA32" t="str">
        <v>HarsilBudget</v>
      </c>
      <c r="BB32" t="str">
        <v>HarsilStandard</v>
      </c>
      <c r="BC32" t="str">
        <v>NetalaPremium</v>
      </c>
      <c r="BD32" t="str">
        <v>NetalaBudget</v>
      </c>
      <c r="BE32" t="str">
        <v>NetalaStandard</v>
      </c>
      <c r="BF32" t="str">
        <v>HaridwarPremium</v>
      </c>
      <c r="BG32" t="str">
        <v>HaridwarBudget</v>
      </c>
      <c r="BH32" t="str">
        <v>HaridwarStandard</v>
      </c>
    </row>
    <row r="33" spans="1:78" x14ac:dyDescent="0.3">
      <c r="A33" t="str">
        <f>IF(B33="","",_xlfn.XLOOKUP(B33,'Raw'!D:D,'Raw'!B:B))</f>
        <v/>
      </c>
      <c r="C33" t="e">
        <f>VLOOKUP(B33,RAW[[Hotel Code]:[Hotel / Resort Name ]],2,0)</f>
        <v>#N/A</v>
      </c>
      <c r="D33" t="str">
        <f t="shared" si="1"/>
        <v>Premium</v>
      </c>
      <c r="E33" t="str">
        <f t="shared" si="0"/>
        <v>Budget</v>
      </c>
      <c r="F33" t="str">
        <f t="shared" si="0"/>
        <v>Standard</v>
      </c>
      <c r="G33" t="s">
        <v>311</v>
      </c>
      <c r="J33" t="str" cm="1">
        <f t="array" ref="J33:J37">IF(J$32=0,"",_xlfn._xlws.FILTER(RAW[Hotel / Resort Name ],RAW[Key]=Sheet2!J$32,"Not Found"))</f>
        <v>Blessings Resort Family Cottages (Mountain view with private balcony)</v>
      </c>
      <c r="K33" t="str" cm="1">
        <f t="array" ref="K33:K39">IF(K$32=0,"",_xlfn._xlws.FILTER(RAW[Hotel / Resort Name ],RAW[Key]=Sheet2!K$32,"Not Found"))</f>
        <v>Hotel Santosh</v>
      </c>
      <c r="L33" t="str" cm="1">
        <f t="array" ref="L33:L34">IF(L$32=0,"",_xlfn._xlws.FILTER(RAW[Hotel / Resort Name ],RAW[Key]=Sheet2!L$32,"Not Found"))</f>
        <v>AP Residency</v>
      </c>
      <c r="M33" t="str" cm="1">
        <f t="array" ref="M33:M37">IF(M$32=0,"",_xlfn._xlws.FILTER(RAW[Hotel / Resort Name ],RAW[Key]=Sheet2!M$32,"Not Found"))</f>
        <v>Rudra Camp Kedarnath</v>
      </c>
      <c r="N33" t="str" cm="1">
        <f t="array" ref="N33:N36">IF(N$32=0,"",_xlfn._xlws.FILTER(RAW[Hotel / Resort Name ],RAW[Key]=Sheet2!N$32,"Not Found"))</f>
        <v>Rudra Hotel</v>
      </c>
      <c r="O33" t="str" cm="1">
        <f t="array" ref="O33">IF(O$32=0,"",_xlfn._xlws.FILTER(RAW[Hotel / Resort Name ],RAW[Key]=Sheet2!O$32,"Not Found"))</f>
        <v>Not Found</v>
      </c>
      <c r="P33" t="str" cm="1">
        <f t="array" ref="P33:P34">IF(P$32=0,"",_xlfn._xlws.FILTER(RAW[Hotel / Resort Name ],RAW[Key]=Sheet2!P$32,"Not Found"))</f>
        <v>Shivlinga Resort Deluxe Non AC</v>
      </c>
      <c r="Q33" t="str" cm="1">
        <f t="array" ref="Q33:Q34">IF(Q$32=0,"",_xlfn._xlws.FILTER(RAW[Hotel / Resort Name ],RAW[Key]=Sheet2!Q$32,"Not Found"))</f>
        <v xml:space="preserve">Hotel maharishi </v>
      </c>
      <c r="R33" t="str" cm="1">
        <f t="array" ref="R33:R39">IF(R$32=0,"",_xlfn._xlws.FILTER(RAW[Hotel / Resort Name ],RAW[Key]=Sheet2!R$32,"Not Found"))</f>
        <v>Hotel Ankit Palace</v>
      </c>
      <c r="S33" t="str" cm="1">
        <f t="array" ref="S33">IF(S$32=0,"",_xlfn._xlws.FILTER(RAW[Hotel / Resort Name ],RAW[Key]=Sheet2!S$32,"Not Found"))</f>
        <v>Kedar Hill Resort</v>
      </c>
      <c r="T33" t="str" cm="1">
        <f t="array" ref="T33">IF(T$32=0,"",_xlfn._xlws.FILTER(RAW[Hotel / Resort Name ],RAW[Key]=Sheet2!T$32,"Not Found"))</f>
        <v xml:space="preserve">Shri Narayan Touris Lodge &amp; Chandica Hotel </v>
      </c>
      <c r="U33" t="str" cm="1">
        <f t="array" ref="U33:U35">IF(U$32=0,"",_xlfn._xlws.FILTER(RAW[Hotel / Resort Name ],RAW[Key]=Sheet2!U$32,"Not Found"))</f>
        <v xml:space="preserve">Kailashpati Resort </v>
      </c>
      <c r="V33" t="str" cm="1">
        <f t="array" ref="V33:V40">IF(V$32=0,"",_xlfn._xlws.FILTER(RAW[Hotel / Resort Name ],RAW[Key]=Sheet2!V$32,"Not Found"))</f>
        <v>Phulwari Resort Swiss Cottage</v>
      </c>
      <c r="W33" t="str" cm="1">
        <f t="array" ref="W33:W34">IF(W$32=0,"",_xlfn._xlws.FILTER(RAW[Hotel / Resort Name ],RAW[Key]=Sheet2!W$32,"Not Found"))</f>
        <v>Shiv Manohar</v>
      </c>
      <c r="X33" t="str" cm="1">
        <f t="array" ref="X33:X38">IF(X$32=0,"",_xlfn._xlws.FILTER(RAW[Hotel / Resort Name ],RAW[Key]=Sheet2!X$32,"Not Found"))</f>
        <v>Hotel Blue Pine</v>
      </c>
      <c r="Y33" t="str" cm="1">
        <f t="array" ref="Y33:Y38">IF(Y$32=0,"",_xlfn._xlws.FILTER(RAW[Hotel / Resort Name ],RAW[Key]=Sheet2!Y$32,"Not Found"))</f>
        <v>Hotel Battalion 10 AC Premimum</v>
      </c>
      <c r="Z33" t="str" cm="1">
        <f t="array" ref="Z33">IF(Z$32=0,"",_xlfn._xlws.FILTER(RAW[Hotel / Resort Name ],RAW[Key]=Sheet2!Z$32,"Not Found"))</f>
        <v>Not Found</v>
      </c>
      <c r="AA33" t="str" cm="1">
        <f t="array" ref="AA33:AA35">IF(AA$32=0,"",_xlfn._xlws.FILTER(RAW[Hotel / Resort Name ],RAW[Key]=Sheet2!AA$32,"Not Found"))</f>
        <v>Hotel Battalion 10 Non Ac Deluxe</v>
      </c>
      <c r="AB33" t="str" cm="1">
        <f t="array" ref="AB33:AB36">IF(AB$32=0,"",_xlfn._xlws.FILTER(RAW[Hotel / Resort Name ],RAW[Key]=Sheet2!AB$32,"Not Found"))</f>
        <v>Hotel Vinayak Superior Room</v>
      </c>
      <c r="AC33" t="str" cm="1">
        <f t="array" ref="AC33">IF(AC$32=0,"",_xlfn._xlws.FILTER(RAW[Hotel / Resort Name ],RAW[Key]=Sheet2!AC$32,"Not Found"))</f>
        <v>Hotel Welcome Pipalkoti</v>
      </c>
      <c r="AD33" t="str" cm="1">
        <f t="array" ref="AD33:AD38">IF(AD$32=0,"",_xlfn._xlws.FILTER(RAW[Hotel / Resort Name ],RAW[Key]=Sheet2!AD$32,"Not Found"))</f>
        <v xml:space="preserve"> Hotel Comfort INN </v>
      </c>
      <c r="AE33" t="str" cm="1">
        <f t="array" ref="AE33:AE43">IF(AE$32=0,"",_xlfn._xlws.FILTER(RAW[Hotel / Resort Name ],RAW[Key]=Sheet2!AE$32,"Not Found"))</f>
        <v>Badri Palace</v>
      </c>
      <c r="AF33" t="str" cm="1">
        <f t="array" ref="AF33">IF(AF$32=0,"",_xlfn._xlws.FILTER(RAW[Hotel / Resort Name ],RAW[Key]=Sheet2!AF$32,"Not Found"))</f>
        <v>Not Found</v>
      </c>
      <c r="AG33" t="str" cm="1">
        <f t="array" ref="AG33">IF(AG$32=0,"",_xlfn._xlws.FILTER(RAW[Hotel / Resort Name ],RAW[Key]=Sheet2!AG$32,"Not Found"))</f>
        <v>Hotel Himgiri Badrinath</v>
      </c>
      <c r="AH33" t="str" cm="1">
        <f t="array" ref="AH33">IF(AH$32=0,"",_xlfn._xlws.FILTER(RAW[Hotel / Resort Name ],RAW[Key]=Sheet2!AH$32,"Not Found"))</f>
        <v>Hotel Mangalam</v>
      </c>
      <c r="AI33" t="str" cm="1">
        <f t="array" ref="AI33:AI34">IF(AI$32=0,"",_xlfn._xlws.FILTER(RAW[Hotel / Resort Name ],RAW[Key]=Sheet2!AI$32,"Not Found"))</f>
        <v xml:space="preserve">Madhuvan Guest House </v>
      </c>
      <c r="AJ33" t="str" cm="1">
        <f t="array" ref="AJ33:AJ39">IF(AJ$32=0,"",_xlfn._xlws.FILTER(RAW[Hotel / Resort Name ],RAW[Key]=Sheet2!AJ$32,"Not Found"))</f>
        <v xml:space="preserve">Hotel Aditya Palace </v>
      </c>
      <c r="AK33" t="str" cm="1">
        <f t="array" ref="AK33">IF(AK$32=0,"",_xlfn._xlws.FILTER(RAW[Hotel / Resort Name ],RAW[Key]=Sheet2!AK$32,"Not Found"))</f>
        <v>Not Found</v>
      </c>
      <c r="AL33" t="str" cm="1">
        <f t="array" ref="AL33">IF(AL$32=0,"",_xlfn._xlws.FILTER(RAW[Hotel / Resort Name ],RAW[Key]=Sheet2!AL$32,"Not Found"))</f>
        <v>Not Found</v>
      </c>
      <c r="AM33" t="str" cm="1">
        <f t="array" ref="AM33">IF(AM$32=0,"",_xlfn._xlws.FILTER(RAW[Hotel / Resort Name ],RAW[Key]=Sheet2!AM$32,"Not Found"))</f>
        <v xml:space="preserve">Hotel Raghveer </v>
      </c>
      <c r="AN33" t="str" cm="1">
        <f t="array" ref="AN33">IF(AN$32=0,"",_xlfn._xlws.FILTER(RAW[Hotel / Resort Name ],RAW[Key]=Sheet2!AN$32,"Not Found"))</f>
        <v>Not Found</v>
      </c>
      <c r="AO33" t="str" cm="1">
        <f t="array" ref="AO33">IF(AO$32=0,"",_xlfn._xlws.FILTER(RAW[Hotel / Resort Name ],RAW[Key]=Sheet2!AO$32,"Not Found"))</f>
        <v>Hotel Mount Hills</v>
      </c>
      <c r="AP33" t="str" cm="1">
        <f t="array" ref="AP33">IF(AP$32=0,"",_xlfn._xlws.FILTER(RAW[Hotel / Resort Name ],RAW[Key]=Sheet2!AP$32,"Not Found"))</f>
        <v>Not Found</v>
      </c>
      <c r="AQ33" t="str" cm="1">
        <f t="array" ref="AQ33">IF(AQ$32=0,"",_xlfn._xlws.FILTER(RAW[Hotel / Resort Name ],RAW[Key]=Sheet2!AQ$32,"Not Found"))</f>
        <v>Not Found</v>
      </c>
      <c r="AR33" t="str" cm="1">
        <f t="array" ref="AR33">IF(AR$32=0,"",_xlfn._xlws.FILTER(RAW[Hotel / Resort Name ],RAW[Key]=Sheet2!AR$32,"Not Found"))</f>
        <v>Not Found</v>
      </c>
      <c r="AS33" t="str" cm="1">
        <f t="array" ref="AS33:AS34">IF(AS$32=0,"",_xlfn._xlws.FILTER(RAW[Hotel / Resort Name ],RAW[Key]=Sheet2!AS$32,"Not Found"))</f>
        <v>Alpine Adventure Camp</v>
      </c>
      <c r="AT33" t="str" cm="1">
        <f t="array" ref="AT33:AT35">IF(AT$32=0,"",_xlfn._xlws.FILTER(RAW[Hotel / Resort Name ],RAW[Key]=Sheet2!AT$32,"Not Found"))</f>
        <v>The Tattva Resort</v>
      </c>
      <c r="AU33" t="str" cm="1">
        <f t="array" ref="AU33">IF(AU$32=0,"",_xlfn._xlws.FILTER(RAW[Hotel / Resort Name ],RAW[Key]=Sheet2!AU$32,"Not Found"))</f>
        <v>Not Found</v>
      </c>
      <c r="AV33" t="str" cm="1">
        <f t="array" ref="AV33">IF(AV$32=0,"",_xlfn._xlws.FILTER(RAW[Hotel / Resort Name ],RAW[Key]=Sheet2!AV$32,"Not Found"))</f>
        <v>Not Found</v>
      </c>
      <c r="AW33" t="str" cm="1">
        <f t="array" ref="AW33:AW34">IF(AW$32=0,"",_xlfn._xlws.FILTER(RAW[Hotel / Resort Name ],RAW[Key]=Sheet2!AW$32,"Not Found"))</f>
        <v>DLS The Classio</v>
      </c>
      <c r="AX33" t="str" cm="1">
        <f t="array" ref="AX33">IF(AX$32=0,"",_xlfn._xlws.FILTER(RAW[Hotel / Resort Name ],RAW[Key]=Sheet2!AX$32,"Not Found"))</f>
        <v>Not Found</v>
      </c>
      <c r="AY33" t="str" cm="1">
        <f t="array" ref="AY33">IF(AY$32=0,"",_xlfn._xlws.FILTER(RAW[Hotel / Resort Name ],RAW[Key]=Sheet2!AY$32,"Not Found"))</f>
        <v>Not Found</v>
      </c>
      <c r="AZ33" t="str" cm="1">
        <f t="array" ref="AZ33:AZ37">IF(AZ$32=0,"",_xlfn._xlws.FILTER(RAW[Hotel / Resort Name ],RAW[Key]=Sheet2!AZ$32,"Not Found"))</f>
        <v>Nelangana Resort Pemium Room</v>
      </c>
      <c r="BA33" t="str" cm="1">
        <f t="array" ref="BA33">IF(BA$32=0,"",_xlfn._xlws.FILTER(RAW[Hotel / Resort Name ],RAW[Key]=Sheet2!BA$32,"Not Found"))</f>
        <v>Not Found</v>
      </c>
      <c r="BB33" t="str" cm="1">
        <f t="array" ref="BB33">IF(BB$32=0,"",_xlfn._xlws.FILTER(RAW[Hotel / Resort Name ],RAW[Key]=Sheet2!BB$32,"Not Found"))</f>
        <v>Not Found</v>
      </c>
      <c r="BC33" t="str" cm="1">
        <f t="array" ref="BC33:BC35">IF(BC$32=0,"",_xlfn._xlws.FILTER(RAW[Hotel / Resort Name ],RAW[Key]=Sheet2!BC$32,"Not Found"))</f>
        <v>Hotel Bhagirathi Residency Deluxe Room</v>
      </c>
      <c r="BD33" t="str" cm="1">
        <f t="array" ref="BD33">IF(BD$32=0,"",_xlfn._xlws.FILTER(RAW[Hotel / Resort Name ],RAW[Key]=Sheet2!BD$32,"Not Found"))</f>
        <v>Not Found</v>
      </c>
      <c r="BE33" t="str" cm="1">
        <f t="array" ref="BE33">IF(BE$32=0,"",_xlfn._xlws.FILTER(RAW[Hotel / Resort Name ],RAW[Key]=Sheet2!BE$32,"Not Found"))</f>
        <v>Not Found</v>
      </c>
      <c r="BF33" t="str" cm="1">
        <f t="array" ref="BF33">IF(BF$32=0,"",_xlfn._xlws.FILTER(RAW[Hotel / Resort Name ],RAW[Key]=Sheet2!BF$32,"Not Found"))</f>
        <v xml:space="preserve">Ganga Bliss </v>
      </c>
      <c r="BG33" t="str" cm="1">
        <f t="array" ref="BG33">IF(BG$32=0,"",_xlfn._xlws.FILTER(RAW[Hotel / Resort Name ],RAW[Key]=Sheet2!BG$32,"Not Found"))</f>
        <v>Hotel Green Leaf</v>
      </c>
      <c r="BH33" t="str" cm="1">
        <f t="array" ref="BH33">IF(BH$32=0,"",_xlfn._xlws.FILTER(RAW[Hotel / Resort Name ],RAW[Key]=Sheet2!BH$32,"Not Found"))</f>
        <v xml:space="preserve">Hotel Arihant </v>
      </c>
      <c r="BI33" t="str" cm="1">
        <f t="array" ref="BI33">IF(BI$32=0,"",_xlfn._xlws.FILTER(RAW[Hotel / Resort Name ],RAW[Key]=Sheet2!BI$32,"Not Found"))</f>
        <v/>
      </c>
      <c r="BJ33" t="str" cm="1">
        <f t="array" ref="BJ33">IF(BJ$32=0,"",_xlfn._xlws.FILTER(RAW[Hotel / Resort Name ],RAW[Key]=Sheet2!BJ$32,"Not Found"))</f>
        <v/>
      </c>
      <c r="BK33" t="str" cm="1">
        <f t="array" ref="BK33">IF(BK$32=0,"",_xlfn._xlws.FILTER(RAW[Hotel / Resort Name ],RAW[Key]=Sheet2!BK$32,"Not Found"))</f>
        <v/>
      </c>
      <c r="BL33" t="str" cm="1">
        <f t="array" ref="BL33">IF(BL$32=0,"",_xlfn._xlws.FILTER(RAW[Hotel / Resort Name ],RAW[Key]=Sheet2!BL$32,"Not Found"))</f>
        <v/>
      </c>
      <c r="BM33" t="str" cm="1">
        <f t="array" ref="BM33">IF(BM$32=0,"",_xlfn._xlws.FILTER(RAW[Hotel / Resort Name ],RAW[Key]=Sheet2!BM$32,"Not Found"))</f>
        <v/>
      </c>
      <c r="BN33" t="str" cm="1">
        <f t="array" ref="BN33">IF(BN$32=0,"",_xlfn._xlws.FILTER(RAW[Hotel / Resort Name ],RAW[Key]=Sheet2!BN$32,"Not Found"))</f>
        <v/>
      </c>
      <c r="BO33" t="str" cm="1">
        <f t="array" ref="BO33">IF(BO$32=0,"",_xlfn._xlws.FILTER(RAW[Hotel / Resort Name ],RAW[Key]=Sheet2!BO$32,"Not Found"))</f>
        <v/>
      </c>
      <c r="BP33" t="str" cm="1">
        <f t="array" ref="BP33">IF(BP$32=0,"",_xlfn._xlws.FILTER(RAW[Hotel / Resort Name ],RAW[Key]=Sheet2!BP$32,"Not Found"))</f>
        <v/>
      </c>
      <c r="BQ33" t="str" cm="1">
        <f t="array" ref="BQ33">IF(BQ$32=0,"",_xlfn._xlws.FILTER(RAW[Hotel / Resort Name ],RAW[Key]=Sheet2!BQ$32,"Not Found"))</f>
        <v/>
      </c>
      <c r="BR33" t="str" cm="1">
        <f t="array" ref="BR33">IF(BR$32=0,"",_xlfn._xlws.FILTER(RAW[Hotel / Resort Name ],RAW[Key]=Sheet2!BR$32,"Not Found"))</f>
        <v/>
      </c>
      <c r="BS33" t="str" cm="1">
        <f t="array" ref="BS33">IF(BS$32=0,"",_xlfn._xlws.FILTER(RAW[Hotel / Resort Name ],RAW[Key]=Sheet2!BS$32,"Not Found"))</f>
        <v/>
      </c>
      <c r="BT33" t="str" cm="1">
        <f t="array" ref="BT33">IF(BT$32=0,"",_xlfn._xlws.FILTER(RAW[Hotel / Resort Name ],RAW[Key]=Sheet2!BT$32,"Not Found"))</f>
        <v/>
      </c>
      <c r="BU33" t="str" cm="1">
        <f t="array" ref="BU33">IF(BU$32=0,"",_xlfn._xlws.FILTER(RAW[Hotel / Resort Name ],RAW[Key]=Sheet2!BU$32,"Not Found"))</f>
        <v/>
      </c>
      <c r="BV33" t="str" cm="1">
        <f t="array" ref="BV33">IF(BV$32=0,"",_xlfn._xlws.FILTER(RAW[Hotel / Resort Name ],RAW[Key]=Sheet2!BV$32,"Not Found"))</f>
        <v/>
      </c>
      <c r="BW33" t="str" cm="1">
        <f t="array" ref="BW33">IF(BW$32=0,"",_xlfn._xlws.FILTER(RAW[Hotel / Resort Name ],RAW[Key]=Sheet2!BW$32,"Not Found"))</f>
        <v/>
      </c>
      <c r="BX33" t="str" cm="1">
        <f t="array" ref="BX33">IF(BX$32=0,"",_xlfn._xlws.FILTER(RAW[Hotel / Resort Name ],RAW[Key]=Sheet2!BX$32,"Not Found"))</f>
        <v/>
      </c>
      <c r="BY33" t="str" cm="1">
        <f t="array" ref="BY33">IF(BY$32=0,"",_xlfn._xlws.FILTER(RAW[Hotel / Resort Name ],RAW[Key]=Sheet2!BY$32,"Not Found"))</f>
        <v/>
      </c>
      <c r="BZ33" t="str" cm="1">
        <f t="array" ref="BZ33">IF(BZ$32=0,"",_xlfn._xlws.FILTER(RAW[Hotel / Resort Name ],RAW[Key]=Sheet2!BZ$32,"Not Found"))</f>
        <v/>
      </c>
    </row>
    <row r="34" spans="1:78" x14ac:dyDescent="0.3">
      <c r="A34" t="str">
        <f>IF(B34="","",_xlfn.XLOOKUP(B34,'Raw'!D:D,'Raw'!B:B))</f>
        <v/>
      </c>
      <c r="C34" t="e">
        <f>VLOOKUP(B34,RAW[[Hotel Code]:[Hotel / Resort Name ]],2,0)</f>
        <v>#N/A</v>
      </c>
      <c r="D34" t="str">
        <f t="shared" si="1"/>
        <v>Premium</v>
      </c>
      <c r="E34" t="str">
        <f t="shared" si="0"/>
        <v>Budget</v>
      </c>
      <c r="F34" t="str">
        <f t="shared" si="0"/>
        <v>Standard</v>
      </c>
      <c r="G34" t="s">
        <v>324</v>
      </c>
      <c r="J34" t="str">
        <v>Blessings Resort Deluxe Cottages (Mountain
view with private balcony)</v>
      </c>
      <c r="K34" t="str">
        <v>Gaurav Hotel</v>
      </c>
      <c r="L34" t="str">
        <v>Hotel Laxmi Palace</v>
      </c>
      <c r="M34" t="str">
        <v>Parmeshwari Kedarnath (Only 20mts Kedarnath Temple)</v>
      </c>
      <c r="N34" t="str">
        <v>Hotel New Pandey Inn</v>
      </c>
      <c r="P34" t="str">
        <v>Anand Ganga Ganga View Rooms</v>
      </c>
      <c r="Q34" t="str">
        <v>Osho Zenganga Commune</v>
      </c>
      <c r="R34" t="str">
        <v>Hotel Sravasti</v>
      </c>
      <c r="U34" t="str">
        <v>Narayan Valley Resort</v>
      </c>
      <c r="V34" t="str">
        <v>New Basera</v>
      </c>
      <c r="W34" t="str">
        <v>Hotel Shiv Manohar</v>
      </c>
      <c r="X34" t="str">
        <v>Namami Gange</v>
      </c>
      <c r="Y34" t="str">
        <v>Hotel  Blue Orchid</v>
      </c>
      <c r="AA34" t="str">
        <v>Hotel Battalion 10 AC Super Deluxe</v>
      </c>
      <c r="AB34" t="str">
        <v>Hotel Vinayak Executive Room</v>
      </c>
      <c r="AD34" t="str">
        <v>Hotel Ajay Palace</v>
      </c>
      <c r="AE34" t="str">
        <v>Badri Palace by Namami Gange</v>
      </c>
      <c r="AI34" t="str">
        <v>Hotel Vijay Residency</v>
      </c>
      <c r="AJ34" t="str">
        <v>Hotel Pinewood (The om Hotels)</v>
      </c>
      <c r="AS34" t="str">
        <v>paradise Adventure camp</v>
      </c>
      <c r="AT34" t="str">
        <v>Hotel Panchvati Inn Deluxe</v>
      </c>
      <c r="AW34" t="str">
        <v>DLS Hotels on the Ganges</v>
      </c>
      <c r="AZ34" t="str">
        <v>Prakriti Retreat Premium Room</v>
      </c>
      <c r="BC34" t="str">
        <v>Hotel Bhagirathi Residency Super Deluxe Room (Non-AC)</v>
      </c>
    </row>
    <row r="35" spans="1:78" x14ac:dyDescent="0.3">
      <c r="A35" t="str">
        <f>IF(B35="","",_xlfn.XLOOKUP(B35,'Raw'!D:D,'Raw'!B:B))</f>
        <v/>
      </c>
      <c r="C35" t="e">
        <f>VLOOKUP(B35,RAW[[Hotel Code]:[Hotel / Resort Name ]],2,0)</f>
        <v>#N/A</v>
      </c>
      <c r="D35" t="str">
        <f t="shared" si="1"/>
        <v>Premium</v>
      </c>
      <c r="E35" t="str">
        <f t="shared" si="0"/>
        <v>Budget</v>
      </c>
      <c r="F35" t="str">
        <f t="shared" si="0"/>
        <v>Standard</v>
      </c>
      <c r="G35" t="s">
        <v>431</v>
      </c>
      <c r="J35" t="str">
        <v>Blessings Resort Luxury Cottages
(Mountain &amp; River view
with private balcony)</v>
      </c>
      <c r="K35" t="str">
        <v>Buransh Homestay</v>
      </c>
      <c r="M35" t="str">
        <v>Raatri Hotels</v>
      </c>
      <c r="N35" t="str">
        <v>BIKANER HOUSE</v>
      </c>
      <c r="R35" t="str">
        <v>Maa Saraswati Hotel</v>
      </c>
      <c r="U35" t="str">
        <v>Neelansh Resort</v>
      </c>
      <c r="V35" t="str">
        <v xml:space="preserve"> Hotel New Mandakini River Resort</v>
      </c>
      <c r="X35" t="str">
        <v>Abhishek Hotel</v>
      </c>
      <c r="Y35" t="str">
        <v>Raatri Hotel Bhanu Palace</v>
      </c>
      <c r="AA35" t="str">
        <v>Hotel Mandakini Deluxe Rooms</v>
      </c>
      <c r="AB35" t="str">
        <v xml:space="preserve">Hotel Le Meadows </v>
      </c>
      <c r="AD35" t="str">
        <v>Ajay Palace Pipalkoti</v>
      </c>
      <c r="AE35" t="str">
        <v>Hotel Neelkanth</v>
      </c>
      <c r="AJ35" t="str">
        <v>Hotel Poll Star Inn (The om Hotels)</v>
      </c>
      <c r="AT35" t="str">
        <v>Hotel Panchvati Inn Premium</v>
      </c>
      <c r="AZ35" t="str">
        <v>Prakriti Retreat Standard</v>
      </c>
      <c r="BC35" t="str">
        <v>Hotel Bhagirathi Residency Super Deluxe Room (AC)</v>
      </c>
    </row>
    <row r="36" spans="1:78" x14ac:dyDescent="0.3">
      <c r="A36" t="str">
        <f>IF(B36="","",_xlfn.XLOOKUP(B36,'Raw'!D:D,'Raw'!B:B))</f>
        <v/>
      </c>
      <c r="C36" t="e">
        <f>VLOOKUP(B36,RAW[[Hotel Code]:[Hotel / Resort Name ]],2,0)</f>
        <v>#N/A</v>
      </c>
      <c r="D36" t="str">
        <f t="shared" si="1"/>
        <v>Premium</v>
      </c>
      <c r="E36" t="str">
        <f t="shared" si="0"/>
        <v>Budget</v>
      </c>
      <c r="F36" t="str">
        <f t="shared" si="0"/>
        <v>Standard</v>
      </c>
      <c r="G36" t="s">
        <v>317</v>
      </c>
      <c r="J36" t="str">
        <v>Yamunotri Cottages (Classic)</v>
      </c>
      <c r="K36" t="str">
        <v>Blessings Resort Dormitory</v>
      </c>
      <c r="M36" t="str">
        <v>Marwar House Hotel</v>
      </c>
      <c r="N36" t="str">
        <v xml:space="preserve">Bagwari House </v>
      </c>
      <c r="R36" t="str">
        <v xml:space="preserve">Hotel Sahaj Villa </v>
      </c>
      <c r="V36" t="str">
        <v>Shivalik Valley Resorts</v>
      </c>
      <c r="X36" t="str">
        <v>Hotel Namami Gange</v>
      </c>
      <c r="Y36" t="str">
        <v>Hotel Samrat Resort</v>
      </c>
      <c r="AB36" t="str">
        <v>Hotel Uday Palace</v>
      </c>
      <c r="AD36" t="str">
        <v xml:space="preserve">Hotel Bhawani </v>
      </c>
      <c r="AE36" t="str">
        <v>Badriville Resort</v>
      </c>
      <c r="AJ36" t="str">
        <v>Hotel Sunrise (Raatri Hotels)</v>
      </c>
      <c r="AZ36" t="str">
        <v>Nelangana Resort Deluxe Room</v>
      </c>
    </row>
    <row r="37" spans="1:78" x14ac:dyDescent="0.3">
      <c r="A37" t="str">
        <f>IF(B37="","",_xlfn.XLOOKUP(B37,'Raw'!D:D,'Raw'!B:B))</f>
        <v/>
      </c>
      <c r="C37" t="e">
        <f>VLOOKUP(B37,RAW[[Hotel Code]:[Hotel / Resort Name ]],2,0)</f>
        <v>#N/A</v>
      </c>
      <c r="D37" t="str">
        <f t="shared" si="1"/>
        <v>Premium</v>
      </c>
      <c r="E37" t="str">
        <f t="shared" si="0"/>
        <v>Budget</v>
      </c>
      <c r="F37" t="str">
        <f t="shared" si="0"/>
        <v>Standard</v>
      </c>
      <c r="G37" t="s">
        <v>361</v>
      </c>
      <c r="J37" t="str">
        <v>Yamunotri Cottages (Luxury Pine)</v>
      </c>
      <c r="K37" t="str">
        <v>Shiv Shakti Eco Resort</v>
      </c>
      <c r="M37" t="str">
        <v>Kedarnath Deluxe by K3yaStays</v>
      </c>
      <c r="R37" t="str">
        <v>Hotel Narayan Palace</v>
      </c>
      <c r="V37" t="str">
        <v>Phulwari Resort Deluxe Room</v>
      </c>
      <c r="X37" t="str">
        <v>Shri Narayan Resort</v>
      </c>
      <c r="Y37" t="str">
        <v>Hotel Mandakini Superior Rooms</v>
      </c>
      <c r="AD37" t="str">
        <v>Hotel Devlok</v>
      </c>
      <c r="AE37" t="str">
        <v>Hotel Panchvati Inn</v>
      </c>
      <c r="AJ37" t="str">
        <v xml:space="preserve">RJ Anandam Resort </v>
      </c>
      <c r="AZ37" t="str">
        <v>Hotel Royal Hillcrest</v>
      </c>
    </row>
    <row r="38" spans="1:78" x14ac:dyDescent="0.3">
      <c r="A38" t="str">
        <f>IF(B38="","",_xlfn.XLOOKUP(B38,'Raw'!D:D,'Raw'!B:B))</f>
        <v/>
      </c>
      <c r="C38" t="e">
        <f>VLOOKUP(B38,RAW[[Hotel Code]:[Hotel / Resort Name ]],2,0)</f>
        <v>#N/A</v>
      </c>
      <c r="D38" t="str">
        <f t="shared" si="1"/>
        <v>Premium</v>
      </c>
      <c r="E38" t="str">
        <f t="shared" si="1"/>
        <v>Budget</v>
      </c>
      <c r="F38" t="str">
        <f t="shared" si="1"/>
        <v>Standard</v>
      </c>
      <c r="G38" t="s">
        <v>432</v>
      </c>
      <c r="K38" t="str">
        <v>Hotel Aakashdeep</v>
      </c>
      <c r="R38" t="str">
        <v>Anand Ganga</v>
      </c>
      <c r="V38" t="str">
        <v>Phulwari Resort Premium Room</v>
      </c>
      <c r="X38" t="str">
        <v>Rumkh Kedar Resort</v>
      </c>
      <c r="Y38" t="str">
        <v>Sukoon DK</v>
      </c>
      <c r="AD38" t="str">
        <v>Hotel BALBEER PALACE</v>
      </c>
      <c r="AE38" t="str">
        <v>Shree Kuber Regency</v>
      </c>
      <c r="AJ38" t="str">
        <v>Yamunotri Darshan Resort</v>
      </c>
    </row>
    <row r="39" spans="1:78" x14ac:dyDescent="0.3">
      <c r="A39" t="str">
        <f>IF(B39="","",_xlfn.XLOOKUP(B39,'Raw'!D:D,'Raw'!B:B))</f>
        <v/>
      </c>
      <c r="C39" t="e">
        <f>VLOOKUP(B39,RAW[[Hotel Code]:[Hotel / Resort Name ]],2,0)</f>
        <v>#N/A</v>
      </c>
      <c r="D39" t="str">
        <f t="shared" si="1"/>
        <v>Premium</v>
      </c>
      <c r="E39" t="str">
        <f t="shared" si="1"/>
        <v>Budget</v>
      </c>
      <c r="F39" t="str">
        <f t="shared" si="1"/>
        <v>Standard</v>
      </c>
      <c r="G39" t="s">
        <v>346</v>
      </c>
      <c r="K39" t="str">
        <v xml:space="preserve">Gaurav Hotel </v>
      </c>
      <c r="R39" t="str">
        <v>Hotel Suryansh</v>
      </c>
      <c r="V39" t="str">
        <v>Phulwari Resort Suite Room 4 Person</v>
      </c>
      <c r="AE39" t="str">
        <v>Badrinath Anant Hotel</v>
      </c>
      <c r="AJ39" t="str">
        <v>Hotel Om Shivaay Inn</v>
      </c>
    </row>
    <row r="40" spans="1:78" x14ac:dyDescent="0.3">
      <c r="A40" t="str">
        <f>IF(B40="","",_xlfn.XLOOKUP(B40,'Raw'!D:D,'Raw'!B:B))</f>
        <v/>
      </c>
      <c r="C40" t="e">
        <f>VLOOKUP(B40,RAW[[Hotel Code]:[Hotel / Resort Name ]],2,0)</f>
        <v>#N/A</v>
      </c>
      <c r="D40" t="str">
        <f t="shared" si="1"/>
        <v>Premium</v>
      </c>
      <c r="E40" t="str">
        <f t="shared" si="1"/>
        <v>Budget</v>
      </c>
      <c r="F40" t="str">
        <f t="shared" si="1"/>
        <v>Standard</v>
      </c>
      <c r="G40" t="s">
        <v>375</v>
      </c>
      <c r="V40" t="str">
        <v>Phulwari Resort Presidential Suite Room</v>
      </c>
      <c r="AE40" t="str">
        <v>VijayLord's palace Badrinath</v>
      </c>
    </row>
    <row r="41" spans="1:78" x14ac:dyDescent="0.3">
      <c r="A41" t="str">
        <f>IF(B41="","",_xlfn.XLOOKUP(B41,'Raw'!D:D,'Raw'!B:B))</f>
        <v/>
      </c>
      <c r="C41" t="e">
        <f>VLOOKUP(B41,RAW[[Hotel Code]:[Hotel / Resort Name ]],2,0)</f>
        <v>#N/A</v>
      </c>
      <c r="D41" t="str">
        <f t="shared" si="1"/>
        <v>Premium</v>
      </c>
      <c r="E41" t="str">
        <f t="shared" si="1"/>
        <v>Budget</v>
      </c>
      <c r="F41" t="str">
        <f t="shared" si="1"/>
        <v>Standard</v>
      </c>
      <c r="G41" t="s">
        <v>433</v>
      </c>
      <c r="AE41" t="str">
        <v>Suryoday: The Vaikunth Premium King room</v>
      </c>
    </row>
    <row r="42" spans="1:78" x14ac:dyDescent="0.3">
      <c r="A42" t="str">
        <f>IF(B42="","",_xlfn.XLOOKUP(B42,'Raw'!D:D,'Raw'!B:B))</f>
        <v/>
      </c>
      <c r="C42" t="e">
        <f>VLOOKUP(B42,RAW[[Hotel Code]:[Hotel / Resort Name ]],2,0)</f>
        <v>#N/A</v>
      </c>
      <c r="D42" t="str">
        <f t="shared" si="1"/>
        <v>Premium</v>
      </c>
      <c r="E42" t="str">
        <f t="shared" si="1"/>
        <v>Budget</v>
      </c>
      <c r="F42" t="str">
        <f t="shared" si="1"/>
        <v>Standard</v>
      </c>
      <c r="G42" t="s">
        <v>393</v>
      </c>
      <c r="AE42" t="str">
        <v>Suryoday: The Vaikunth Mini Cozy Suite</v>
      </c>
    </row>
    <row r="43" spans="1:78" x14ac:dyDescent="0.3">
      <c r="A43" t="str">
        <f>IF(B43="","",_xlfn.XLOOKUP(B43,'Raw'!D:D,'Raw'!B:B))</f>
        <v/>
      </c>
      <c r="C43" t="e">
        <f>VLOOKUP(B43,RAW[[Hotel Code]:[Hotel / Resort Name ]],2,0)</f>
        <v>#N/A</v>
      </c>
      <c r="D43" t="str">
        <f t="shared" si="1"/>
        <v>Premium</v>
      </c>
      <c r="E43" t="str">
        <f t="shared" si="1"/>
        <v>Budget</v>
      </c>
      <c r="F43" t="str">
        <f t="shared" si="1"/>
        <v>Standard</v>
      </c>
      <c r="G43" t="s">
        <v>419</v>
      </c>
      <c r="AE43" t="str">
        <v>Hotel New Urvashi</v>
      </c>
    </row>
    <row r="44" spans="1:78" x14ac:dyDescent="0.3">
      <c r="A44" t="str">
        <f>IF(B44="","",_xlfn.XLOOKUP(B44,'Raw'!D:D,'Raw'!B:B))</f>
        <v/>
      </c>
      <c r="C44" t="e">
        <f>VLOOKUP(B44,RAW[[Hotel Code]:[Hotel / Resort Name ]],2,0)</f>
        <v>#N/A</v>
      </c>
      <c r="D44" t="str">
        <f t="shared" si="1"/>
        <v>Premium</v>
      </c>
      <c r="E44" t="str">
        <f t="shared" si="1"/>
        <v>Budget</v>
      </c>
      <c r="F44" t="str">
        <f t="shared" si="1"/>
        <v>Standard</v>
      </c>
      <c r="G44" t="s">
        <v>434</v>
      </c>
    </row>
    <row r="45" spans="1:78" x14ac:dyDescent="0.3">
      <c r="A45" t="str">
        <f>IF(B45="","",_xlfn.XLOOKUP(B45,'Raw'!D:D,'Raw'!B:B))</f>
        <v/>
      </c>
      <c r="C45" t="e">
        <f>VLOOKUP(B45,RAW[[Hotel Code]:[Hotel / Resort Name ]],2,0)</f>
        <v>#N/A</v>
      </c>
      <c r="D45" t="str">
        <f t="shared" si="1"/>
        <v>Premium</v>
      </c>
      <c r="E45" t="str">
        <f t="shared" si="1"/>
        <v>Budget</v>
      </c>
      <c r="F45" t="str">
        <f t="shared" si="1"/>
        <v>Standard</v>
      </c>
      <c r="G45" t="s">
        <v>435</v>
      </c>
    </row>
    <row r="46" spans="1:78" x14ac:dyDescent="0.3">
      <c r="A46" t="str">
        <f>IF(B46="","",_xlfn.XLOOKUP(B46,'Raw'!D:D,'Raw'!B:B))</f>
        <v/>
      </c>
      <c r="C46" t="e">
        <f>VLOOKUP(B46,RAW[[Hotel Code]:[Hotel / Resort Name ]],2,0)</f>
        <v>#N/A</v>
      </c>
      <c r="D46" t="str">
        <f t="shared" si="1"/>
        <v>Premium</v>
      </c>
      <c r="E46" t="str">
        <f t="shared" si="1"/>
        <v>Budget</v>
      </c>
      <c r="F46" t="str">
        <f t="shared" si="1"/>
        <v>Standard</v>
      </c>
      <c r="G46" t="s">
        <v>461</v>
      </c>
    </row>
    <row r="47" spans="1:78" x14ac:dyDescent="0.3">
      <c r="A47" t="str">
        <f>IF(B47="","",_xlfn.XLOOKUP(B47,'Raw'!D:D,'Raw'!B:B))</f>
        <v/>
      </c>
      <c r="C47" t="e">
        <f>VLOOKUP(B47,RAW[[Hotel Code]:[Hotel / Resort Name ]],2,0)</f>
        <v>#N/A</v>
      </c>
      <c r="D47" t="str">
        <f t="shared" si="1"/>
        <v>Premium</v>
      </c>
      <c r="E47" t="str">
        <f t="shared" si="1"/>
        <v>Budget</v>
      </c>
      <c r="F47" t="str">
        <f t="shared" si="1"/>
        <v>Standard</v>
      </c>
      <c r="G47" t="s">
        <v>462</v>
      </c>
    </row>
    <row r="48" spans="1:78" x14ac:dyDescent="0.3">
      <c r="A48" t="str">
        <f>IF(B48="","",_xlfn.XLOOKUP(B48,'Raw'!D:D,'Raw'!B:B))</f>
        <v/>
      </c>
      <c r="C48" t="e">
        <f>VLOOKUP(B48,RAW[[Hotel Code]:[Hotel / Resort Name ]],2,0)</f>
        <v>#N/A</v>
      </c>
      <c r="D48" t="str">
        <f t="shared" si="1"/>
        <v>Premium</v>
      </c>
      <c r="E48" t="str">
        <f t="shared" si="1"/>
        <v>Budget</v>
      </c>
      <c r="F48" t="str">
        <f t="shared" si="1"/>
        <v>Standard</v>
      </c>
      <c r="G48" t="s">
        <v>453</v>
      </c>
    </row>
    <row r="49" spans="1:7" x14ac:dyDescent="0.3">
      <c r="A49" t="str">
        <f>IF(B49="","",_xlfn.XLOOKUP(B49,'Raw'!D:D,'Raw'!B:B))</f>
        <v/>
      </c>
      <c r="C49" t="e">
        <f>VLOOKUP(B49,RAW[[Hotel Code]:[Hotel / Resort Name ]],2,0)</f>
        <v>#N/A</v>
      </c>
      <c r="D49" t="str">
        <f t="shared" si="1"/>
        <v>Premium</v>
      </c>
      <c r="E49" t="str">
        <f t="shared" si="1"/>
        <v>Budget</v>
      </c>
      <c r="F49" t="str">
        <f t="shared" si="1"/>
        <v>Standard</v>
      </c>
      <c r="G49" t="s">
        <v>493</v>
      </c>
    </row>
    <row r="50" spans="1:7" x14ac:dyDescent="0.3">
      <c r="A50" t="str">
        <f>IF(B50="","",_xlfn.XLOOKUP(B50,'Raw'!D:D,'Raw'!B:B))</f>
        <v/>
      </c>
      <c r="C50" t="e">
        <f>VLOOKUP(B50,RAW[[Hotel Code]:[Hotel / Resort Name ]],2,0)</f>
        <v>#N/A</v>
      </c>
      <c r="D50" t="str">
        <f t="shared" si="1"/>
        <v>Premium</v>
      </c>
      <c r="E50" t="str">
        <f t="shared" si="1"/>
        <v>Budget</v>
      </c>
      <c r="F50" t="str">
        <f t="shared" si="1"/>
        <v>Standard</v>
      </c>
      <c r="G50" t="s">
        <v>494</v>
      </c>
    </row>
    <row r="51" spans="1:7" x14ac:dyDescent="0.3">
      <c r="A51" t="str">
        <f>IF(B51="","",_xlfn.XLOOKUP(B51,'Raw'!D:D,'Raw'!B:B))</f>
        <v/>
      </c>
      <c r="C51" t="e">
        <f>VLOOKUP(B51,RAW[[Hotel Code]:[Hotel / Resort Name ]],2,0)</f>
        <v>#N/A</v>
      </c>
      <c r="D51" t="str">
        <f t="shared" si="1"/>
        <v>Premium</v>
      </c>
      <c r="E51" t="str">
        <f t="shared" si="1"/>
        <v>Budget</v>
      </c>
      <c r="F51" t="str">
        <f t="shared" si="1"/>
        <v>Standard</v>
      </c>
      <c r="G51" t="s">
        <v>495</v>
      </c>
    </row>
    <row r="52" spans="1:7" x14ac:dyDescent="0.3">
      <c r="A52" t="str">
        <f>IF(B52="","",_xlfn.XLOOKUP(B52,'Raw'!D:D,'Raw'!B:B))</f>
        <v/>
      </c>
      <c r="C52" t="e">
        <f>VLOOKUP(B52,RAW[[Hotel Code]:[Hotel / Resort Name ]],2,0)</f>
        <v>#N/A</v>
      </c>
      <c r="D52" t="str">
        <f t="shared" si="1"/>
        <v>Premium</v>
      </c>
      <c r="E52" t="str">
        <f t="shared" si="1"/>
        <v>Budget</v>
      </c>
      <c r="F52" t="str">
        <f t="shared" si="1"/>
        <v>Standard</v>
      </c>
      <c r="G52" t="s">
        <v>750</v>
      </c>
    </row>
    <row r="53" spans="1:7" x14ac:dyDescent="0.3">
      <c r="A53" t="str">
        <f>IF(B53="","",_xlfn.XLOOKUP(B53,'Raw'!D:D,'Raw'!B:B))</f>
        <v/>
      </c>
      <c r="C53" t="e">
        <f>VLOOKUP(B53,RAW[[Hotel Code]:[Hotel / Resort Name ]],2,0)</f>
        <v>#N/A</v>
      </c>
      <c r="D53" t="str">
        <f t="shared" si="1"/>
        <v>Premium</v>
      </c>
      <c r="E53" t="str">
        <f t="shared" si="1"/>
        <v>Budget</v>
      </c>
      <c r="F53" t="str">
        <f t="shared" si="1"/>
        <v>Standard</v>
      </c>
      <c r="G53" t="s">
        <v>742</v>
      </c>
    </row>
    <row r="54" spans="1:7" x14ac:dyDescent="0.3">
      <c r="A54" t="str">
        <f>IF(B54="","",_xlfn.XLOOKUP(B54,'Raw'!D:D,'Raw'!B:B))</f>
        <v/>
      </c>
      <c r="C54" t="e">
        <f>VLOOKUP(B54,RAW[[Hotel Code]:[Hotel / Resort Name ]],2,0)</f>
        <v>#N/A</v>
      </c>
      <c r="D54" t="str">
        <f t="shared" si="1"/>
        <v>Premium</v>
      </c>
      <c r="E54" t="str">
        <f t="shared" si="1"/>
        <v>Budget</v>
      </c>
      <c r="F54" t="str">
        <f t="shared" si="1"/>
        <v>Standard</v>
      </c>
      <c r="G54" t="s">
        <v>751</v>
      </c>
    </row>
    <row r="55" spans="1:7" x14ac:dyDescent="0.3">
      <c r="A55" t="str">
        <f>IF(B55="","",_xlfn.XLOOKUP(B55,'Raw'!D:D,'Raw'!B:B))</f>
        <v/>
      </c>
      <c r="C55" t="e">
        <f>VLOOKUP(B55,RAW[[Hotel Code]:[Hotel / Resort Name ]],2,0)</f>
        <v>#N/A</v>
      </c>
      <c r="D55" t="str">
        <f t="shared" ref="D55:F86" si="2">$A55&amp;D$21</f>
        <v>Premium</v>
      </c>
      <c r="E55" t="str">
        <f t="shared" si="2"/>
        <v>Budget</v>
      </c>
      <c r="F55" t="str">
        <f t="shared" si="2"/>
        <v>Standard</v>
      </c>
      <c r="G55" t="s">
        <v>957</v>
      </c>
    </row>
    <row r="56" spans="1:7" x14ac:dyDescent="0.3">
      <c r="A56" t="str">
        <f>IF(B56="","",_xlfn.XLOOKUP(B56,'Raw'!D:D,'Raw'!B:B))</f>
        <v/>
      </c>
      <c r="C56" t="e">
        <f>VLOOKUP(B56,RAW[[Hotel Code]:[Hotel / Resort Name ]],2,0)</f>
        <v>#N/A</v>
      </c>
      <c r="D56" t="str">
        <f t="shared" si="2"/>
        <v>Premium</v>
      </c>
      <c r="E56" t="str">
        <f t="shared" si="2"/>
        <v>Budget</v>
      </c>
      <c r="F56" t="str">
        <f t="shared" si="2"/>
        <v>Standard</v>
      </c>
      <c r="G56" t="s">
        <v>958</v>
      </c>
    </row>
    <row r="57" spans="1:7" x14ac:dyDescent="0.3">
      <c r="A57" t="str">
        <f>IF(B57="","",_xlfn.XLOOKUP(B57,'Raw'!D:D,'Raw'!B:B))</f>
        <v/>
      </c>
      <c r="C57" t="e">
        <f>VLOOKUP(B57,RAW[[Hotel Code]:[Hotel / Resort Name ]],2,0)</f>
        <v>#N/A</v>
      </c>
      <c r="D57" t="str">
        <f t="shared" si="2"/>
        <v>Premium</v>
      </c>
      <c r="E57" t="str">
        <f t="shared" si="2"/>
        <v>Budget</v>
      </c>
      <c r="F57" t="str">
        <f t="shared" si="2"/>
        <v>Standard</v>
      </c>
      <c r="G57" t="s">
        <v>953</v>
      </c>
    </row>
    <row r="58" spans="1:7" x14ac:dyDescent="0.3">
      <c r="A58" t="str">
        <f>IF(B58="","",_xlfn.XLOOKUP(B58,'Raw'!D:D,'Raw'!B:B))</f>
        <v/>
      </c>
      <c r="C58" t="e">
        <f>VLOOKUP(B58,RAW[[Hotel Code]:[Hotel / Resort Name ]],2,0)</f>
        <v>#N/A</v>
      </c>
      <c r="D58" t="str">
        <f t="shared" si="2"/>
        <v>Premium</v>
      </c>
      <c r="E58" t="str">
        <f t="shared" si="2"/>
        <v>Budget</v>
      </c>
      <c r="F58" t="str">
        <f t="shared" si="2"/>
        <v>Standard</v>
      </c>
      <c r="G58" t="s">
        <v>962</v>
      </c>
    </row>
    <row r="59" spans="1:7" x14ac:dyDescent="0.3">
      <c r="A59" t="str">
        <f>IF(B59="","",_xlfn.XLOOKUP(B59,'Raw'!D:D,'Raw'!B:B))</f>
        <v/>
      </c>
      <c r="C59" t="e">
        <f>VLOOKUP(B59,RAW[[Hotel Code]:[Hotel / Resort Name ]],2,0)</f>
        <v>#N/A</v>
      </c>
      <c r="D59" t="str">
        <f t="shared" si="2"/>
        <v>Premium</v>
      </c>
      <c r="E59" t="str">
        <f t="shared" si="2"/>
        <v>Budget</v>
      </c>
      <c r="F59" t="str">
        <f t="shared" si="2"/>
        <v>Standard</v>
      </c>
      <c r="G59" t="s">
        <v>966</v>
      </c>
    </row>
    <row r="60" spans="1:7" x14ac:dyDescent="0.3">
      <c r="A60" t="str">
        <f>IF(B60="","",_xlfn.XLOOKUP(B60,'Raw'!D:D,'Raw'!B:B))</f>
        <v/>
      </c>
      <c r="C60" t="e">
        <f>VLOOKUP(B60,RAW[[Hotel Code]:[Hotel / Resort Name ]],2,0)</f>
        <v>#N/A</v>
      </c>
      <c r="D60" t="str">
        <f t="shared" si="2"/>
        <v>Premium</v>
      </c>
      <c r="E60" t="str">
        <f t="shared" si="2"/>
        <v>Budget</v>
      </c>
      <c r="F60" t="str">
        <f t="shared" si="2"/>
        <v>Standard</v>
      </c>
      <c r="G60" t="s">
        <v>967</v>
      </c>
    </row>
    <row r="61" spans="1:7" x14ac:dyDescent="0.3">
      <c r="A61" t="str">
        <f>IF(B61="","",_xlfn.XLOOKUP(B61,'Raw'!D:D,'Raw'!B:B))</f>
        <v/>
      </c>
      <c r="C61" t="e">
        <f>VLOOKUP(B61,RAW[[Hotel Code]:[Hotel / Resort Name ]],2,0)</f>
        <v>#N/A</v>
      </c>
      <c r="D61" t="str">
        <f t="shared" si="2"/>
        <v>Premium</v>
      </c>
      <c r="E61" t="str">
        <f t="shared" si="2"/>
        <v>Budget</v>
      </c>
      <c r="F61" t="str">
        <f t="shared" si="2"/>
        <v>Standard</v>
      </c>
      <c r="G61" t="s">
        <v>982</v>
      </c>
    </row>
    <row r="62" spans="1:7" x14ac:dyDescent="0.3">
      <c r="A62" t="str">
        <f>IF(B62="","",_xlfn.XLOOKUP(B62,'Raw'!D:D,'Raw'!B:B))</f>
        <v/>
      </c>
      <c r="C62" t="e">
        <f>VLOOKUP(B62,RAW[[Hotel Code]:[Hotel / Resort Name ]],2,0)</f>
        <v>#N/A</v>
      </c>
      <c r="D62" t="str">
        <f t="shared" si="2"/>
        <v>Premium</v>
      </c>
      <c r="E62" t="str">
        <f t="shared" si="2"/>
        <v>Budget</v>
      </c>
      <c r="F62" t="str">
        <f t="shared" si="2"/>
        <v>Standard</v>
      </c>
      <c r="G62" t="s">
        <v>986</v>
      </c>
    </row>
    <row r="63" spans="1:7" x14ac:dyDescent="0.3">
      <c r="A63" t="str">
        <f>IF(B63="","",_xlfn.XLOOKUP(B63,'Raw'!D:D,'Raw'!B:B))</f>
        <v/>
      </c>
      <c r="C63" t="e">
        <f>VLOOKUP(B63,RAW[[Hotel Code]:[Hotel / Resort Name ]],2,0)</f>
        <v>#N/A</v>
      </c>
      <c r="D63" t="str">
        <f t="shared" si="2"/>
        <v>Premium</v>
      </c>
      <c r="E63" t="str">
        <f t="shared" si="2"/>
        <v>Budget</v>
      </c>
      <c r="F63" t="str">
        <f t="shared" si="2"/>
        <v>Standard</v>
      </c>
      <c r="G63" t="s">
        <v>987</v>
      </c>
    </row>
    <row r="64" spans="1:7" x14ac:dyDescent="0.3">
      <c r="A64" t="str">
        <f>IF(B64="","",_xlfn.XLOOKUP(B64,'Raw'!D:D,'Raw'!B:B))</f>
        <v/>
      </c>
      <c r="C64" t="e">
        <f>VLOOKUP(B64,RAW[[Hotel Code]:[Hotel / Resort Name ]],2,0)</f>
        <v>#N/A</v>
      </c>
      <c r="D64" t="str">
        <f t="shared" si="2"/>
        <v>Premium</v>
      </c>
      <c r="E64" t="str">
        <f t="shared" si="2"/>
        <v>Budget</v>
      </c>
      <c r="F64" t="str">
        <f t="shared" si="2"/>
        <v>Standard</v>
      </c>
      <c r="G64" t="s">
        <v>998</v>
      </c>
    </row>
    <row r="65" spans="1:7" x14ac:dyDescent="0.3">
      <c r="A65" t="str">
        <f>IF(B65="","",_xlfn.XLOOKUP(B65,'Raw'!D:D,'Raw'!B:B))</f>
        <v/>
      </c>
      <c r="C65" t="e">
        <f>VLOOKUP(B65,RAW[[Hotel Code]:[Hotel / Resort Name ]],2,0)</f>
        <v>#N/A</v>
      </c>
      <c r="D65" t="str">
        <f t="shared" si="2"/>
        <v>Premium</v>
      </c>
      <c r="E65" t="str">
        <f t="shared" si="2"/>
        <v>Budget</v>
      </c>
      <c r="F65" t="str">
        <f t="shared" si="2"/>
        <v>Standard</v>
      </c>
      <c r="G65" t="s">
        <v>999</v>
      </c>
    </row>
    <row r="66" spans="1:7" x14ac:dyDescent="0.3">
      <c r="A66" t="str">
        <f>IF(B66="","",_xlfn.XLOOKUP(B66,'Raw'!D:D,'Raw'!B:B))</f>
        <v/>
      </c>
      <c r="C66" t="e">
        <f>VLOOKUP(B66,RAW[[Hotel Code]:[Hotel / Resort Name ]],2,0)</f>
        <v>#N/A</v>
      </c>
      <c r="D66" t="str">
        <f t="shared" si="2"/>
        <v>Premium</v>
      </c>
      <c r="E66" t="str">
        <f t="shared" si="2"/>
        <v>Budget</v>
      </c>
      <c r="F66" t="str">
        <f t="shared" si="2"/>
        <v>Standard</v>
      </c>
      <c r="G66" t="s">
        <v>1000</v>
      </c>
    </row>
    <row r="67" spans="1:7" x14ac:dyDescent="0.3">
      <c r="A67" t="str">
        <f>IF(B67="","",_xlfn.XLOOKUP(B67,'Raw'!D:D,'Raw'!B:B))</f>
        <v/>
      </c>
      <c r="C67" t="e">
        <f>VLOOKUP(B67,RAW[[Hotel Code]:[Hotel / Resort Name ]],2,0)</f>
        <v>#N/A</v>
      </c>
      <c r="D67" t="str">
        <f t="shared" si="2"/>
        <v>Premium</v>
      </c>
      <c r="E67" t="str">
        <f t="shared" si="2"/>
        <v>Budget</v>
      </c>
      <c r="F67" t="str">
        <f t="shared" si="2"/>
        <v>Standard</v>
      </c>
      <c r="G67" t="s">
        <v>1041</v>
      </c>
    </row>
    <row r="68" spans="1:7" x14ac:dyDescent="0.3">
      <c r="A68" t="str">
        <f>IF(B68="","",_xlfn.XLOOKUP(B68,'Raw'!D:D,'Raw'!B:B))</f>
        <v/>
      </c>
      <c r="C68" t="e">
        <f>VLOOKUP(B68,RAW[[Hotel Code]:[Hotel / Resort Name ]],2,0)</f>
        <v>#N/A</v>
      </c>
      <c r="D68" t="str">
        <f t="shared" si="2"/>
        <v>Premium</v>
      </c>
      <c r="E68" t="str">
        <f t="shared" si="2"/>
        <v>Budget</v>
      </c>
      <c r="F68" t="str">
        <f t="shared" si="2"/>
        <v>Standard</v>
      </c>
      <c r="G68" t="s">
        <v>1053</v>
      </c>
    </row>
    <row r="69" spans="1:7" x14ac:dyDescent="0.3">
      <c r="A69" t="str">
        <f>IF(B69="","",_xlfn.XLOOKUP(B69,'Raw'!D:D,'Raw'!B:B))</f>
        <v/>
      </c>
      <c r="C69" t="e">
        <f>VLOOKUP(B69,RAW[[Hotel Code]:[Hotel / Resort Name ]],2,0)</f>
        <v>#N/A</v>
      </c>
      <c r="D69" t="str">
        <f t="shared" si="2"/>
        <v>Premium</v>
      </c>
      <c r="E69" t="str">
        <f t="shared" si="2"/>
        <v>Budget</v>
      </c>
      <c r="F69" t="str">
        <f t="shared" si="2"/>
        <v>Standard</v>
      </c>
      <c r="G69" t="s">
        <v>1054</v>
      </c>
    </row>
    <row r="70" spans="1:7" x14ac:dyDescent="0.3">
      <c r="A70" t="str">
        <f>IF(B70="","",_xlfn.XLOOKUP(B70,'Raw'!D:D,'Raw'!B:B))</f>
        <v/>
      </c>
      <c r="C70" t="e">
        <f>VLOOKUP(B70,RAW[[Hotel Code]:[Hotel / Resort Name ]],2,0)</f>
        <v>#N/A</v>
      </c>
      <c r="D70" t="str">
        <f t="shared" si="2"/>
        <v>Premium</v>
      </c>
      <c r="E70" t="str">
        <f t="shared" si="2"/>
        <v>Budget</v>
      </c>
      <c r="F70" t="str">
        <f t="shared" si="2"/>
        <v>Standard</v>
      </c>
      <c r="G70" t="s">
        <v>1159</v>
      </c>
    </row>
    <row r="71" spans="1:7" x14ac:dyDescent="0.3">
      <c r="A71" t="str">
        <f>IF(B71="","",_xlfn.XLOOKUP(B71,'Raw'!D:D,'Raw'!B:B))</f>
        <v/>
      </c>
      <c r="C71" t="e">
        <f>VLOOKUP(B71,RAW[[Hotel Code]:[Hotel / Resort Name ]],2,0)</f>
        <v>#N/A</v>
      </c>
      <c r="D71" t="str">
        <f t="shared" si="2"/>
        <v>Premium</v>
      </c>
      <c r="E71" t="str">
        <f t="shared" si="2"/>
        <v>Budget</v>
      </c>
      <c r="F71" t="str">
        <f t="shared" si="2"/>
        <v>Standard</v>
      </c>
      <c r="G71" t="s">
        <v>1152</v>
      </c>
    </row>
    <row r="72" spans="1:7" x14ac:dyDescent="0.3">
      <c r="A72" t="str">
        <f>IF(B72="","",_xlfn.XLOOKUP(B72,'Raw'!D:D,'Raw'!B:B))</f>
        <v/>
      </c>
      <c r="C72" t="e">
        <f>VLOOKUP(B72,RAW[[Hotel Code]:[Hotel / Resort Name ]],2,0)</f>
        <v>#N/A</v>
      </c>
      <c r="D72" t="str">
        <f t="shared" si="2"/>
        <v>Premium</v>
      </c>
      <c r="E72" t="str">
        <f t="shared" si="2"/>
        <v>Budget</v>
      </c>
      <c r="F72" t="str">
        <f t="shared" si="2"/>
        <v>Standard</v>
      </c>
      <c r="G72" t="s">
        <v>1160</v>
      </c>
    </row>
    <row r="73" spans="1:7" x14ac:dyDescent="0.3">
      <c r="A73" t="str">
        <f>IF(B73="","",_xlfn.XLOOKUP(B73,'Raw'!D:D,'Raw'!B:B))</f>
        <v/>
      </c>
      <c r="C73" t="e">
        <f>VLOOKUP(B73,RAW[[Hotel Code]:[Hotel / Resort Name ]],2,0)</f>
        <v>#N/A</v>
      </c>
      <c r="D73" t="str">
        <f t="shared" si="2"/>
        <v>Premium</v>
      </c>
      <c r="E73" t="str">
        <f t="shared" si="2"/>
        <v>Budget</v>
      </c>
      <c r="F73" t="str">
        <f t="shared" si="2"/>
        <v>Standard</v>
      </c>
    </row>
    <row r="74" spans="1:7" x14ac:dyDescent="0.3">
      <c r="A74" t="str">
        <f>IF(B74="","",_xlfn.XLOOKUP(B74,'Raw'!D:D,'Raw'!B:B))</f>
        <v/>
      </c>
      <c r="C74" t="e">
        <f>VLOOKUP(B74,RAW[[Hotel Code]:[Hotel / Resort Name ]],2,0)</f>
        <v>#N/A</v>
      </c>
      <c r="D74" t="str">
        <f t="shared" si="2"/>
        <v>Premium</v>
      </c>
      <c r="E74" t="str">
        <f t="shared" si="2"/>
        <v>Budget</v>
      </c>
      <c r="F74" t="str">
        <f t="shared" si="2"/>
        <v>Standard</v>
      </c>
    </row>
    <row r="75" spans="1:7" x14ac:dyDescent="0.3">
      <c r="A75" t="str">
        <f>IF(B75="","",_xlfn.XLOOKUP(B75,'Raw'!D:D,'Raw'!B:B))</f>
        <v/>
      </c>
      <c r="C75" t="e">
        <f>VLOOKUP(B75,RAW[[Hotel Code]:[Hotel / Resort Name ]],2,0)</f>
        <v>#N/A</v>
      </c>
      <c r="D75" t="str">
        <f t="shared" si="2"/>
        <v>Premium</v>
      </c>
      <c r="E75" t="str">
        <f t="shared" si="2"/>
        <v>Budget</v>
      </c>
      <c r="F75" t="str">
        <f t="shared" si="2"/>
        <v>Standard</v>
      </c>
    </row>
    <row r="76" spans="1:7" x14ac:dyDescent="0.3">
      <c r="A76" t="str">
        <f>IF(B76="","",_xlfn.XLOOKUP(B76,'Raw'!D:D,'Raw'!B:B))</f>
        <v/>
      </c>
      <c r="C76" t="e">
        <f>VLOOKUP(B76,RAW[[Hotel Code]:[Hotel / Resort Name ]],2,0)</f>
        <v>#N/A</v>
      </c>
      <c r="D76" t="str">
        <f t="shared" si="2"/>
        <v>Premium</v>
      </c>
      <c r="E76" t="str">
        <f t="shared" si="2"/>
        <v>Budget</v>
      </c>
      <c r="F76" t="str">
        <f t="shared" si="2"/>
        <v>Standard</v>
      </c>
    </row>
    <row r="77" spans="1:7" x14ac:dyDescent="0.3">
      <c r="A77" t="str">
        <f>IF(B77="","",_xlfn.XLOOKUP(B77,'Raw'!D:D,'Raw'!B:B))</f>
        <v/>
      </c>
      <c r="C77" t="e">
        <f>VLOOKUP(B77,RAW[[Hotel Code]:[Hotel / Resort Name ]],2,0)</f>
        <v>#N/A</v>
      </c>
      <c r="D77" t="str">
        <f t="shared" si="2"/>
        <v>Premium</v>
      </c>
      <c r="E77" t="str">
        <f t="shared" si="2"/>
        <v>Budget</v>
      </c>
      <c r="F77" t="str">
        <f t="shared" si="2"/>
        <v>Standard</v>
      </c>
    </row>
    <row r="78" spans="1:7" x14ac:dyDescent="0.3">
      <c r="A78" t="str">
        <f>IF(B78="","",_xlfn.XLOOKUP(B78,'Raw'!D:D,'Raw'!B:B))</f>
        <v/>
      </c>
      <c r="C78" t="e">
        <f>VLOOKUP(B78,RAW[[Hotel Code]:[Hotel / Resort Name ]],2,0)</f>
        <v>#N/A</v>
      </c>
      <c r="D78" t="str">
        <f t="shared" si="2"/>
        <v>Premium</v>
      </c>
      <c r="E78" t="str">
        <f t="shared" si="2"/>
        <v>Budget</v>
      </c>
      <c r="F78" t="str">
        <f t="shared" si="2"/>
        <v>Standard</v>
      </c>
    </row>
    <row r="79" spans="1:7" x14ac:dyDescent="0.3">
      <c r="A79" t="str">
        <f>IF(B79="","",_xlfn.XLOOKUP(B79,'Raw'!D:D,'Raw'!B:B))</f>
        <v/>
      </c>
      <c r="C79" t="e">
        <f>VLOOKUP(B79,RAW[[Hotel Code]:[Hotel / Resort Name ]],2,0)</f>
        <v>#N/A</v>
      </c>
      <c r="D79" t="str">
        <f t="shared" si="2"/>
        <v>Premium</v>
      </c>
      <c r="E79" t="str">
        <f t="shared" si="2"/>
        <v>Budget</v>
      </c>
      <c r="F79" t="str">
        <f t="shared" si="2"/>
        <v>Standard</v>
      </c>
    </row>
    <row r="80" spans="1:7" x14ac:dyDescent="0.3">
      <c r="A80" t="str">
        <f>IF(B80="","",_xlfn.XLOOKUP(B80,'Raw'!D:D,'Raw'!B:B))</f>
        <v/>
      </c>
      <c r="C80" t="e">
        <f>VLOOKUP(B80,RAW[[Hotel Code]:[Hotel / Resort Name ]],2,0)</f>
        <v>#N/A</v>
      </c>
      <c r="D80" t="str">
        <f t="shared" si="2"/>
        <v>Premium</v>
      </c>
      <c r="E80" t="str">
        <f t="shared" si="2"/>
        <v>Budget</v>
      </c>
      <c r="F80" t="str">
        <f t="shared" si="2"/>
        <v>Standard</v>
      </c>
    </row>
    <row r="81" spans="1:6" x14ac:dyDescent="0.3">
      <c r="A81" t="str">
        <f>IF(B81="","",_xlfn.XLOOKUP(B81,'Raw'!D:D,'Raw'!B:B))</f>
        <v/>
      </c>
      <c r="C81" t="e">
        <f>VLOOKUP(B81,RAW[[Hotel Code]:[Hotel / Resort Name ]],2,0)</f>
        <v>#N/A</v>
      </c>
      <c r="D81" t="str">
        <f t="shared" si="2"/>
        <v>Premium</v>
      </c>
      <c r="E81" t="str">
        <f t="shared" si="2"/>
        <v>Budget</v>
      </c>
      <c r="F81" t="str">
        <f t="shared" si="2"/>
        <v>Standard</v>
      </c>
    </row>
    <row r="82" spans="1:6" x14ac:dyDescent="0.3">
      <c r="A82" t="str">
        <f>IF(B82="","",_xlfn.XLOOKUP(B82,'Raw'!D:D,'Raw'!B:B))</f>
        <v/>
      </c>
      <c r="C82" t="e">
        <f>VLOOKUP(B82,RAW[[Hotel Code]:[Hotel / Resort Name ]],2,0)</f>
        <v>#N/A</v>
      </c>
      <c r="D82" t="str">
        <f t="shared" si="2"/>
        <v>Premium</v>
      </c>
      <c r="E82" t="str">
        <f t="shared" si="2"/>
        <v>Budget</v>
      </c>
      <c r="F82" t="str">
        <f t="shared" si="2"/>
        <v>Standard</v>
      </c>
    </row>
    <row r="83" spans="1:6" x14ac:dyDescent="0.3">
      <c r="A83" t="str">
        <f>IF(B83="","",_xlfn.XLOOKUP(B83,'Raw'!D:D,'Raw'!B:B))</f>
        <v/>
      </c>
      <c r="C83" t="e">
        <f>VLOOKUP(B83,RAW[[Hotel Code]:[Hotel / Resort Name ]],2,0)</f>
        <v>#N/A</v>
      </c>
      <c r="D83" t="str">
        <f t="shared" si="2"/>
        <v>Premium</v>
      </c>
      <c r="E83" t="str">
        <f t="shared" si="2"/>
        <v>Budget</v>
      </c>
      <c r="F83" t="str">
        <f t="shared" si="2"/>
        <v>Standard</v>
      </c>
    </row>
    <row r="84" spans="1:6" x14ac:dyDescent="0.3">
      <c r="A84" t="str">
        <f>IF(B84="","",_xlfn.XLOOKUP(B84,'Raw'!D:D,'Raw'!B:B))</f>
        <v/>
      </c>
      <c r="C84" t="e">
        <f>VLOOKUP(B84,RAW[[Hotel Code]:[Hotel / Resort Name ]],2,0)</f>
        <v>#N/A</v>
      </c>
      <c r="D84" t="str">
        <f t="shared" si="2"/>
        <v>Premium</v>
      </c>
      <c r="E84" t="str">
        <f t="shared" si="2"/>
        <v>Budget</v>
      </c>
      <c r="F84" t="str">
        <f t="shared" si="2"/>
        <v>Standard</v>
      </c>
    </row>
    <row r="85" spans="1:6" x14ac:dyDescent="0.3">
      <c r="A85" t="str">
        <f>IF(B85="","",_xlfn.XLOOKUP(B85,'Raw'!D:D,'Raw'!B:B))</f>
        <v/>
      </c>
      <c r="C85" t="e">
        <f>VLOOKUP(B85,RAW[[Hotel Code]:[Hotel / Resort Name ]],2,0)</f>
        <v>#N/A</v>
      </c>
      <c r="D85" t="str">
        <f t="shared" si="2"/>
        <v>Premium</v>
      </c>
      <c r="E85" t="str">
        <f t="shared" si="2"/>
        <v>Budget</v>
      </c>
      <c r="F85" t="str">
        <f t="shared" si="2"/>
        <v>Standard</v>
      </c>
    </row>
    <row r="86" spans="1:6" x14ac:dyDescent="0.3">
      <c r="A86" t="str">
        <f>IF(B86="","",_xlfn.XLOOKUP(B86,'Raw'!D:D,'Raw'!B:B))</f>
        <v/>
      </c>
      <c r="C86" t="e">
        <f>VLOOKUP(B86,RAW[[Hotel Code]:[Hotel / Resort Name ]],2,0)</f>
        <v>#N/A</v>
      </c>
      <c r="D86" t="str">
        <f t="shared" si="2"/>
        <v>Premium</v>
      </c>
      <c r="E86" t="str">
        <f t="shared" si="2"/>
        <v>Budget</v>
      </c>
      <c r="F86" t="str">
        <f t="shared" si="2"/>
        <v>Standard</v>
      </c>
    </row>
    <row r="87" spans="1:6" x14ac:dyDescent="0.3">
      <c r="A87" t="str">
        <f>IF(B87="","",_xlfn.XLOOKUP(B87,'Raw'!D:D,'Raw'!B:B))</f>
        <v/>
      </c>
      <c r="C87" t="e">
        <f>VLOOKUP(B87,RAW[[Hotel Code]:[Hotel / Resort Name ]],2,0)</f>
        <v>#N/A</v>
      </c>
      <c r="D87" t="str">
        <f t="shared" ref="D87:F108" si="3">$A87&amp;D$21</f>
        <v>Premium</v>
      </c>
      <c r="E87" t="str">
        <f t="shared" si="3"/>
        <v>Budget</v>
      </c>
      <c r="F87" t="str">
        <f t="shared" si="3"/>
        <v>Standard</v>
      </c>
    </row>
    <row r="88" spans="1:6" x14ac:dyDescent="0.3">
      <c r="A88" t="str">
        <f>IF(B88="","",_xlfn.XLOOKUP(B88,'Raw'!D:D,'Raw'!B:B))</f>
        <v/>
      </c>
      <c r="C88" t="e">
        <f>VLOOKUP(B88,RAW[[Hotel Code]:[Hotel / Resort Name ]],2,0)</f>
        <v>#N/A</v>
      </c>
      <c r="D88" t="str">
        <f t="shared" si="3"/>
        <v>Premium</v>
      </c>
      <c r="E88" t="str">
        <f t="shared" si="3"/>
        <v>Budget</v>
      </c>
      <c r="F88" t="str">
        <f t="shared" si="3"/>
        <v>Standard</v>
      </c>
    </row>
    <row r="89" spans="1:6" x14ac:dyDescent="0.3">
      <c r="A89" t="str">
        <f>IF(B89="","",_xlfn.XLOOKUP(B89,'Raw'!D:D,'Raw'!B:B))</f>
        <v/>
      </c>
      <c r="C89" t="e">
        <f>VLOOKUP(B89,RAW[[Hotel Code]:[Hotel / Resort Name ]],2,0)</f>
        <v>#N/A</v>
      </c>
      <c r="D89" t="str">
        <f t="shared" si="3"/>
        <v>Premium</v>
      </c>
      <c r="E89" t="str">
        <f t="shared" si="3"/>
        <v>Budget</v>
      </c>
      <c r="F89" t="str">
        <f t="shared" si="3"/>
        <v>Standard</v>
      </c>
    </row>
    <row r="90" spans="1:6" x14ac:dyDescent="0.3">
      <c r="A90" t="str">
        <f>IF(B90="","",_xlfn.XLOOKUP(B90,'Raw'!D:D,'Raw'!B:B))</f>
        <v/>
      </c>
      <c r="C90" t="e">
        <f>VLOOKUP(B90,RAW[[Hotel Code]:[Hotel / Resort Name ]],2,0)</f>
        <v>#N/A</v>
      </c>
      <c r="D90" t="str">
        <f t="shared" si="3"/>
        <v>Premium</v>
      </c>
      <c r="E90" t="str">
        <f t="shared" si="3"/>
        <v>Budget</v>
      </c>
      <c r="F90" t="str">
        <f t="shared" si="3"/>
        <v>Standard</v>
      </c>
    </row>
    <row r="91" spans="1:6" x14ac:dyDescent="0.3">
      <c r="A91" t="str">
        <f>IF(B91="","",_xlfn.XLOOKUP(B91,'Raw'!D:D,'Raw'!B:B))</f>
        <v/>
      </c>
      <c r="C91" t="e">
        <f>VLOOKUP(B91,RAW[[Hotel Code]:[Hotel / Resort Name ]],2,0)</f>
        <v>#N/A</v>
      </c>
      <c r="D91" t="str">
        <f t="shared" si="3"/>
        <v>Premium</v>
      </c>
      <c r="E91" t="str">
        <f t="shared" si="3"/>
        <v>Budget</v>
      </c>
      <c r="F91" t="str">
        <f t="shared" si="3"/>
        <v>Standard</v>
      </c>
    </row>
    <row r="92" spans="1:6" x14ac:dyDescent="0.3">
      <c r="A92" t="str">
        <f>IF(B92="","",_xlfn.XLOOKUP(B92,'Raw'!D:D,'Raw'!B:B))</f>
        <v/>
      </c>
      <c r="C92" t="e">
        <f>VLOOKUP(B92,RAW[[Hotel Code]:[Hotel / Resort Name ]],2,0)</f>
        <v>#N/A</v>
      </c>
      <c r="D92" t="str">
        <f t="shared" si="3"/>
        <v>Premium</v>
      </c>
      <c r="E92" t="str">
        <f t="shared" si="3"/>
        <v>Budget</v>
      </c>
      <c r="F92" t="str">
        <f t="shared" si="3"/>
        <v>Standard</v>
      </c>
    </row>
    <row r="93" spans="1:6" x14ac:dyDescent="0.3">
      <c r="A93" t="str">
        <f>IF(B93="","",_xlfn.XLOOKUP(B93,'Raw'!D:D,'Raw'!B:B))</f>
        <v/>
      </c>
      <c r="C93" t="e">
        <f>VLOOKUP(B93,RAW[[Hotel Code]:[Hotel / Resort Name ]],2,0)</f>
        <v>#N/A</v>
      </c>
      <c r="D93" t="str">
        <f t="shared" si="3"/>
        <v>Premium</v>
      </c>
      <c r="E93" t="str">
        <f t="shared" si="3"/>
        <v>Budget</v>
      </c>
      <c r="F93" t="str">
        <f t="shared" si="3"/>
        <v>Standard</v>
      </c>
    </row>
    <row r="94" spans="1:6" x14ac:dyDescent="0.3">
      <c r="A94" t="str">
        <f>IF(B94="","",_xlfn.XLOOKUP(B94,'Raw'!D:D,'Raw'!B:B))</f>
        <v/>
      </c>
      <c r="C94" t="e">
        <f>VLOOKUP(B94,RAW[[Hotel Code]:[Hotel / Resort Name ]],2,0)</f>
        <v>#N/A</v>
      </c>
      <c r="D94" t="str">
        <f t="shared" si="3"/>
        <v>Premium</v>
      </c>
      <c r="E94" t="str">
        <f t="shared" si="3"/>
        <v>Budget</v>
      </c>
      <c r="F94" t="str">
        <f t="shared" si="3"/>
        <v>Standard</v>
      </c>
    </row>
    <row r="95" spans="1:6" x14ac:dyDescent="0.3">
      <c r="A95" t="str">
        <f>IF(B95="","",_xlfn.XLOOKUP(B95,'Raw'!D:D,'Raw'!B:B))</f>
        <v/>
      </c>
      <c r="C95" t="e">
        <f>VLOOKUP(B95,RAW[[Hotel Code]:[Hotel / Resort Name ]],2,0)</f>
        <v>#N/A</v>
      </c>
      <c r="D95" t="str">
        <f t="shared" si="3"/>
        <v>Premium</v>
      </c>
      <c r="E95" t="str">
        <f t="shared" si="3"/>
        <v>Budget</v>
      </c>
      <c r="F95" t="str">
        <f t="shared" si="3"/>
        <v>Standard</v>
      </c>
    </row>
    <row r="96" spans="1:6" x14ac:dyDescent="0.3">
      <c r="A96" t="str">
        <f>IF(B96="","",_xlfn.XLOOKUP(B96,'Raw'!D:D,'Raw'!B:B))</f>
        <v/>
      </c>
      <c r="C96" t="e">
        <f>VLOOKUP(B96,RAW[[Hotel Code]:[Hotel / Resort Name ]],2,0)</f>
        <v>#N/A</v>
      </c>
      <c r="D96" t="str">
        <f t="shared" si="3"/>
        <v>Premium</v>
      </c>
      <c r="E96" t="str">
        <f t="shared" si="3"/>
        <v>Budget</v>
      </c>
      <c r="F96" t="str">
        <f t="shared" si="3"/>
        <v>Standard</v>
      </c>
    </row>
    <row r="97" spans="1:6" x14ac:dyDescent="0.3">
      <c r="A97" t="str">
        <f>IF(B97="","",_xlfn.XLOOKUP(B97,'Raw'!D:D,'Raw'!B:B))</f>
        <v/>
      </c>
      <c r="C97" t="e">
        <f>VLOOKUP(B97,RAW[[Hotel Code]:[Hotel / Resort Name ]],2,0)</f>
        <v>#N/A</v>
      </c>
      <c r="D97" t="str">
        <f t="shared" si="3"/>
        <v>Premium</v>
      </c>
      <c r="E97" t="str">
        <f t="shared" si="3"/>
        <v>Budget</v>
      </c>
      <c r="F97" t="str">
        <f t="shared" si="3"/>
        <v>Standard</v>
      </c>
    </row>
    <row r="98" spans="1:6" x14ac:dyDescent="0.3">
      <c r="A98" t="str">
        <f>IF(B98="","",_xlfn.XLOOKUP(B98,'Raw'!D:D,'Raw'!B:B))</f>
        <v/>
      </c>
      <c r="C98" t="e">
        <f>VLOOKUP(B98,RAW[[Hotel Code]:[Hotel / Resort Name ]],2,0)</f>
        <v>#N/A</v>
      </c>
      <c r="D98" t="str">
        <f t="shared" si="3"/>
        <v>Premium</v>
      </c>
      <c r="E98" t="str">
        <f t="shared" si="3"/>
        <v>Budget</v>
      </c>
      <c r="F98" t="str">
        <f t="shared" si="3"/>
        <v>Standard</v>
      </c>
    </row>
    <row r="99" spans="1:6" x14ac:dyDescent="0.3">
      <c r="A99" t="str">
        <f>IF(B99="","",_xlfn.XLOOKUP(B99,'Raw'!D:D,'Raw'!B:B))</f>
        <v/>
      </c>
      <c r="C99" t="e">
        <f>VLOOKUP(B99,RAW[[Hotel Code]:[Hotel / Resort Name ]],2,0)</f>
        <v>#N/A</v>
      </c>
      <c r="D99" t="str">
        <f t="shared" si="3"/>
        <v>Premium</v>
      </c>
      <c r="E99" t="str">
        <f t="shared" si="3"/>
        <v>Budget</v>
      </c>
      <c r="F99" t="str">
        <f t="shared" si="3"/>
        <v>Standard</v>
      </c>
    </row>
    <row r="100" spans="1:6" x14ac:dyDescent="0.3">
      <c r="A100" t="str">
        <f>IF(B100="","",_xlfn.XLOOKUP(B100,'Raw'!D:D,'Raw'!B:B))</f>
        <v/>
      </c>
      <c r="C100" t="e">
        <f>VLOOKUP(B100,RAW[[Hotel Code]:[Hotel / Resort Name ]],2,0)</f>
        <v>#N/A</v>
      </c>
      <c r="D100" t="str">
        <f t="shared" si="3"/>
        <v>Premium</v>
      </c>
      <c r="E100" t="str">
        <f t="shared" si="3"/>
        <v>Budget</v>
      </c>
      <c r="F100" t="str">
        <f t="shared" si="3"/>
        <v>Standard</v>
      </c>
    </row>
    <row r="101" spans="1:6" x14ac:dyDescent="0.3">
      <c r="A101" t="str">
        <f>IF(B101="","",_xlfn.XLOOKUP(B101,'Raw'!D:D,'Raw'!B:B))</f>
        <v/>
      </c>
      <c r="C101" t="e">
        <f>VLOOKUP(B101,RAW[[Hotel Code]:[Hotel / Resort Name ]],2,0)</f>
        <v>#N/A</v>
      </c>
      <c r="D101" t="str">
        <f t="shared" si="3"/>
        <v>Premium</v>
      </c>
      <c r="E101" t="str">
        <f t="shared" si="3"/>
        <v>Budget</v>
      </c>
      <c r="F101" t="str">
        <f t="shared" si="3"/>
        <v>Standard</v>
      </c>
    </row>
    <row r="102" spans="1:6" x14ac:dyDescent="0.3">
      <c r="A102" t="str">
        <f>IF(B102="","",_xlfn.XLOOKUP(B102,'Raw'!D:D,'Raw'!B:B))</f>
        <v/>
      </c>
      <c r="C102" t="e">
        <f>VLOOKUP(B102,RAW[[Hotel Code]:[Hotel / Resort Name ]],2,0)</f>
        <v>#N/A</v>
      </c>
      <c r="D102" t="str">
        <f t="shared" si="3"/>
        <v>Premium</v>
      </c>
      <c r="E102" t="str">
        <f t="shared" si="3"/>
        <v>Budget</v>
      </c>
      <c r="F102" t="str">
        <f t="shared" si="3"/>
        <v>Standard</v>
      </c>
    </row>
    <row r="103" spans="1:6" x14ac:dyDescent="0.3">
      <c r="A103" t="str">
        <f>IF(B103="","",_xlfn.XLOOKUP(B103,'Raw'!D:D,'Raw'!B:B))</f>
        <v/>
      </c>
      <c r="C103" t="e">
        <f>VLOOKUP(B103,RAW[[Hotel Code]:[Hotel / Resort Name ]],2,0)</f>
        <v>#N/A</v>
      </c>
      <c r="D103" t="str">
        <f t="shared" si="3"/>
        <v>Premium</v>
      </c>
      <c r="E103" t="str">
        <f t="shared" si="3"/>
        <v>Budget</v>
      </c>
      <c r="F103" t="str">
        <f t="shared" si="3"/>
        <v>Standard</v>
      </c>
    </row>
    <row r="104" spans="1:6" x14ac:dyDescent="0.3">
      <c r="A104" t="str">
        <f>IF(B104="","",_xlfn.XLOOKUP(B104,'Raw'!D:D,'Raw'!B:B))</f>
        <v/>
      </c>
      <c r="C104" t="e">
        <f>VLOOKUP(B104,RAW[[Hotel Code]:[Hotel / Resort Name ]],2,0)</f>
        <v>#N/A</v>
      </c>
      <c r="D104" t="str">
        <f t="shared" si="3"/>
        <v>Premium</v>
      </c>
      <c r="E104" t="str">
        <f t="shared" si="3"/>
        <v>Budget</v>
      </c>
      <c r="F104" t="str">
        <f t="shared" si="3"/>
        <v>Standard</v>
      </c>
    </row>
    <row r="105" spans="1:6" x14ac:dyDescent="0.3">
      <c r="A105" t="str">
        <f>IF(B105="","",_xlfn.XLOOKUP(B105,'Raw'!D:D,'Raw'!B:B))</f>
        <v/>
      </c>
      <c r="C105" t="e">
        <f>VLOOKUP(B105,RAW[[Hotel Code]:[Hotel / Resort Name ]],2,0)</f>
        <v>#N/A</v>
      </c>
      <c r="D105" t="str">
        <f t="shared" si="3"/>
        <v>Premium</v>
      </c>
      <c r="E105" t="str">
        <f t="shared" si="3"/>
        <v>Budget</v>
      </c>
      <c r="F105" t="str">
        <f t="shared" si="3"/>
        <v>Standard</v>
      </c>
    </row>
    <row r="106" spans="1:6" x14ac:dyDescent="0.3">
      <c r="A106" t="str">
        <f>IF(B106="","",_xlfn.XLOOKUP(B106,'Raw'!D:D,'Raw'!B:B))</f>
        <v/>
      </c>
      <c r="C106" t="e">
        <f>VLOOKUP(B106,RAW[[Hotel Code]:[Hotel / Resort Name ]],2,0)</f>
        <v>#N/A</v>
      </c>
      <c r="D106" t="str">
        <f>$A106&amp;D$21</f>
        <v>Premium</v>
      </c>
      <c r="E106" t="str">
        <f t="shared" si="3"/>
        <v>Budget</v>
      </c>
      <c r="F106" t="str">
        <f t="shared" si="3"/>
        <v>Standard</v>
      </c>
    </row>
    <row r="107" spans="1:6" x14ac:dyDescent="0.3">
      <c r="A107" t="str">
        <f>IF(B107="","",_xlfn.XLOOKUP(B107,'Raw'!D:D,'Raw'!B:B))</f>
        <v/>
      </c>
      <c r="C107" t="e">
        <f>VLOOKUP(B107,RAW[[Hotel Code]:[Hotel / Resort Name ]],2,0)</f>
        <v>#N/A</v>
      </c>
      <c r="D107" t="str">
        <f t="shared" ref="D107:F122" si="4">$A107&amp;D$21</f>
        <v>Premium</v>
      </c>
      <c r="E107" t="str">
        <f t="shared" si="3"/>
        <v>Budget</v>
      </c>
      <c r="F107" t="str">
        <f t="shared" si="3"/>
        <v>Standard</v>
      </c>
    </row>
    <row r="108" spans="1:6" x14ac:dyDescent="0.3">
      <c r="A108" t="str">
        <f>IF(B108="","",_xlfn.XLOOKUP(B108,'Raw'!D:D,'Raw'!B:B))</f>
        <v/>
      </c>
      <c r="C108" t="e">
        <f>VLOOKUP(B108,RAW[[Hotel Code]:[Hotel / Resort Name ]],2,0)</f>
        <v>#N/A</v>
      </c>
      <c r="D108" t="str">
        <f t="shared" si="4"/>
        <v>Premium</v>
      </c>
      <c r="E108" t="str">
        <f t="shared" si="4"/>
        <v>Budget</v>
      </c>
      <c r="F108" t="str">
        <f t="shared" si="3"/>
        <v>Standard</v>
      </c>
    </row>
    <row r="109" spans="1:6" x14ac:dyDescent="0.3">
      <c r="A109" t="str">
        <f>IF(B109="","",_xlfn.XLOOKUP(B109,'Raw'!D:D,'Raw'!B:B))</f>
        <v/>
      </c>
      <c r="C109" t="e">
        <f>VLOOKUP(B109,RAW[[Hotel Code]:[Hotel / Resort Name ]],2,0)</f>
        <v>#N/A</v>
      </c>
      <c r="D109" t="str">
        <f t="shared" si="4"/>
        <v>Premium</v>
      </c>
      <c r="E109" t="str">
        <f t="shared" si="4"/>
        <v>Budget</v>
      </c>
      <c r="F109" t="str">
        <f t="shared" si="4"/>
        <v>Standard</v>
      </c>
    </row>
    <row r="110" spans="1:6" x14ac:dyDescent="0.3">
      <c r="A110" t="str">
        <f>IF(B110="","",_xlfn.XLOOKUP(B110,'Raw'!D:D,'Raw'!B:B))</f>
        <v/>
      </c>
      <c r="C110" t="e">
        <f>VLOOKUP(B110,RAW[[Hotel Code]:[Hotel / Resort Name ]],2,0)</f>
        <v>#N/A</v>
      </c>
      <c r="D110" t="str">
        <f t="shared" si="4"/>
        <v>Premium</v>
      </c>
      <c r="E110" t="str">
        <f t="shared" si="4"/>
        <v>Budget</v>
      </c>
      <c r="F110" t="str">
        <f t="shared" si="4"/>
        <v>Standard</v>
      </c>
    </row>
    <row r="111" spans="1:6" x14ac:dyDescent="0.3">
      <c r="A111" t="str">
        <f>IF(B111="","",_xlfn.XLOOKUP(B111,'Raw'!D:D,'Raw'!B:B))</f>
        <v/>
      </c>
      <c r="C111" t="e">
        <f>VLOOKUP(B111,RAW[[Hotel Code]:[Hotel / Resort Name ]],2,0)</f>
        <v>#N/A</v>
      </c>
      <c r="D111" t="str">
        <f t="shared" si="4"/>
        <v>Premium</v>
      </c>
      <c r="E111" t="str">
        <f t="shared" ref="E111:E115" si="5">$A111&amp;E$21</f>
        <v>Budget</v>
      </c>
      <c r="F111" t="str">
        <f t="shared" ref="F111:F115" si="6">$A111&amp;F$21</f>
        <v>Standard</v>
      </c>
    </row>
    <row r="112" spans="1:6" x14ac:dyDescent="0.3">
      <c r="A112" t="str">
        <f>IF(B112="","",_xlfn.XLOOKUP(B112,'Raw'!D:D,'Raw'!B:B))</f>
        <v/>
      </c>
      <c r="C112" t="e">
        <f>VLOOKUP(B112,RAW[[Hotel Code]:[Hotel / Resort Name ]],2,0)</f>
        <v>#N/A</v>
      </c>
      <c r="D112" t="str">
        <f t="shared" si="4"/>
        <v>Premium</v>
      </c>
      <c r="E112" t="str">
        <f t="shared" si="5"/>
        <v>Budget</v>
      </c>
      <c r="F112" t="str">
        <f t="shared" si="6"/>
        <v>Standard</v>
      </c>
    </row>
    <row r="113" spans="1:6" x14ac:dyDescent="0.3">
      <c r="A113" t="str">
        <f>IF(B113="","",_xlfn.XLOOKUP(B113,'Raw'!D:D,'Raw'!B:B))</f>
        <v/>
      </c>
      <c r="C113" t="e">
        <f>VLOOKUP(B113,RAW[[Hotel Code]:[Hotel / Resort Name ]],2,0)</f>
        <v>#N/A</v>
      </c>
      <c r="D113" t="str">
        <f t="shared" si="4"/>
        <v>Premium</v>
      </c>
      <c r="E113" t="str">
        <f t="shared" si="5"/>
        <v>Budget</v>
      </c>
      <c r="F113" t="str">
        <f t="shared" si="6"/>
        <v>Standard</v>
      </c>
    </row>
    <row r="114" spans="1:6" x14ac:dyDescent="0.3">
      <c r="A114" t="str">
        <f>IF(B114="","",_xlfn.XLOOKUP(B114,'Raw'!D:D,'Raw'!B:B))</f>
        <v/>
      </c>
      <c r="C114" t="e">
        <f>VLOOKUP(B114,RAW[[Hotel Code]:[Hotel / Resort Name ]],2,0)</f>
        <v>#N/A</v>
      </c>
      <c r="D114" t="str">
        <f t="shared" si="4"/>
        <v>Premium</v>
      </c>
      <c r="E114" t="str">
        <f t="shared" si="5"/>
        <v>Budget</v>
      </c>
      <c r="F114" t="str">
        <f t="shared" si="6"/>
        <v>Standard</v>
      </c>
    </row>
    <row r="115" spans="1:6" x14ac:dyDescent="0.3">
      <c r="A115" t="str">
        <f>IF(B115="","",_xlfn.XLOOKUP(B115,'Raw'!D:D,'Raw'!B:B))</f>
        <v/>
      </c>
      <c r="C115" t="e">
        <f>VLOOKUP(B115,RAW[[Hotel Code]:[Hotel / Resort Name ]],2,0)</f>
        <v>#N/A</v>
      </c>
      <c r="D115" t="str">
        <f t="shared" si="4"/>
        <v>Premium</v>
      </c>
      <c r="E115" t="str">
        <f t="shared" si="5"/>
        <v>Budget</v>
      </c>
      <c r="F115" t="str">
        <f t="shared" si="6"/>
        <v>Standard</v>
      </c>
    </row>
    <row r="116" spans="1:6" x14ac:dyDescent="0.3">
      <c r="A116" t="str">
        <f>IF(B116="","",_xlfn.XLOOKUP(B116,'Raw'!D:D,'Raw'!B:B))</f>
        <v/>
      </c>
      <c r="C116" t="e">
        <f>VLOOKUP(B116,RAW[[Hotel Code]:[Hotel / Resort Name ]],2,0)</f>
        <v>#N/A</v>
      </c>
      <c r="D116" t="str">
        <f t="shared" si="4"/>
        <v>Premium</v>
      </c>
      <c r="E116" t="str">
        <f t="shared" ref="E116:E120" si="7">$A116&amp;E$21</f>
        <v>Budget</v>
      </c>
      <c r="F116" t="str">
        <f t="shared" ref="F116:F120" si="8">$A116&amp;F$21</f>
        <v>Standard</v>
      </c>
    </row>
    <row r="117" spans="1:6" x14ac:dyDescent="0.3">
      <c r="A117" t="str">
        <f>IF(B117="","",_xlfn.XLOOKUP(B117,'Raw'!D:D,'Raw'!B:B))</f>
        <v/>
      </c>
      <c r="C117" t="e">
        <f>VLOOKUP(B117,RAW[[Hotel Code]:[Hotel / Resort Name ]],2,0)</f>
        <v>#N/A</v>
      </c>
      <c r="D117" t="str">
        <f t="shared" si="4"/>
        <v>Premium</v>
      </c>
      <c r="E117" t="str">
        <f t="shared" si="7"/>
        <v>Budget</v>
      </c>
      <c r="F117" t="str">
        <f t="shared" si="8"/>
        <v>Standard</v>
      </c>
    </row>
    <row r="118" spans="1:6" x14ac:dyDescent="0.3">
      <c r="A118" t="str">
        <f>IF(B118="","",_xlfn.XLOOKUP(B118,'Raw'!D:D,'Raw'!B:B))</f>
        <v/>
      </c>
      <c r="C118" t="e">
        <f>VLOOKUP(B118,RAW[[Hotel Code]:[Hotel / Resort Name ]],2,0)</f>
        <v>#N/A</v>
      </c>
      <c r="D118" t="str">
        <f t="shared" si="4"/>
        <v>Premium</v>
      </c>
      <c r="E118" t="str">
        <f t="shared" si="7"/>
        <v>Budget</v>
      </c>
      <c r="F118" t="str">
        <f t="shared" si="8"/>
        <v>Standard</v>
      </c>
    </row>
    <row r="119" spans="1:6" x14ac:dyDescent="0.3">
      <c r="A119" t="str">
        <f>IF(B119="","",_xlfn.XLOOKUP(B119,'Raw'!D:D,'Raw'!B:B))</f>
        <v/>
      </c>
      <c r="C119" t="e">
        <f>VLOOKUP(B119,RAW[[Hotel Code]:[Hotel / Resort Name ]],2,0)</f>
        <v>#N/A</v>
      </c>
      <c r="D119" t="str">
        <f t="shared" si="4"/>
        <v>Premium</v>
      </c>
      <c r="E119" t="str">
        <f t="shared" si="7"/>
        <v>Budget</v>
      </c>
      <c r="F119" t="str">
        <f t="shared" si="8"/>
        <v>Standard</v>
      </c>
    </row>
    <row r="120" spans="1:6" x14ac:dyDescent="0.3">
      <c r="A120" t="str">
        <f>IF(B120="","",_xlfn.XLOOKUP(B120,'Raw'!D:D,'Raw'!B:B))</f>
        <v/>
      </c>
      <c r="C120" t="e">
        <f>VLOOKUP(B120,RAW[[Hotel Code]:[Hotel / Resort Name ]],2,0)</f>
        <v>#N/A</v>
      </c>
      <c r="D120" t="str">
        <f t="shared" si="4"/>
        <v>Premium</v>
      </c>
      <c r="E120" t="str">
        <f t="shared" si="7"/>
        <v>Budget</v>
      </c>
      <c r="F120" t="str">
        <f t="shared" si="8"/>
        <v>Standard</v>
      </c>
    </row>
    <row r="121" spans="1:6" x14ac:dyDescent="0.3">
      <c r="A121" t="str">
        <f>IF(B121="","",_xlfn.XLOOKUP(B121,'Raw'!D:D,'Raw'!B:B))</f>
        <v/>
      </c>
      <c r="C121" t="e">
        <f>VLOOKUP(B121,RAW[[Hotel Code]:[Hotel / Resort Name ]],2,0)</f>
        <v>#N/A</v>
      </c>
      <c r="D121" t="str">
        <f t="shared" si="4"/>
        <v>Premium</v>
      </c>
      <c r="E121" t="str">
        <f t="shared" ref="E121:E124" si="9">$A121&amp;E$21</f>
        <v>Budget</v>
      </c>
      <c r="F121" t="str">
        <f t="shared" ref="F121:F124" si="10">$A121&amp;F$21</f>
        <v>Standard</v>
      </c>
    </row>
    <row r="122" spans="1:6" x14ac:dyDescent="0.3">
      <c r="A122" t="str">
        <f>IF(B122="","",_xlfn.XLOOKUP(B122,'Raw'!D:D,'Raw'!B:B))</f>
        <v/>
      </c>
      <c r="C122" t="e">
        <f>VLOOKUP(B122,RAW[[Hotel Code]:[Hotel / Resort Name ]],2,0)</f>
        <v>#N/A</v>
      </c>
      <c r="D122" t="str">
        <f t="shared" si="4"/>
        <v>Premium</v>
      </c>
      <c r="E122" t="str">
        <f t="shared" si="9"/>
        <v>Budget</v>
      </c>
      <c r="F122" t="str">
        <f t="shared" si="10"/>
        <v>Standard</v>
      </c>
    </row>
    <row r="123" spans="1:6" x14ac:dyDescent="0.3">
      <c r="A123" t="str">
        <f>IF(B123="","",_xlfn.XLOOKUP(B123,'Raw'!D:D,'Raw'!B:B))</f>
        <v/>
      </c>
      <c r="C123" t="e">
        <f>VLOOKUP(B123,RAW[[Hotel Code]:[Hotel / Resort Name ]],2,0)</f>
        <v>#N/A</v>
      </c>
      <c r="D123" t="str">
        <f t="shared" ref="D123:D124" si="11">$A123&amp;D$21</f>
        <v>Premium</v>
      </c>
      <c r="E123" t="str">
        <f t="shared" si="9"/>
        <v>Budget</v>
      </c>
      <c r="F123" t="str">
        <f t="shared" si="10"/>
        <v>Standard</v>
      </c>
    </row>
    <row r="124" spans="1:6" x14ac:dyDescent="0.3">
      <c r="A124" t="str">
        <f>IF(B124="","",_xlfn.XLOOKUP(B124,'Raw'!D:D,'Raw'!B:B))</f>
        <v/>
      </c>
      <c r="C124" t="e">
        <f>VLOOKUP(B124,RAW[[Hotel Code]:[Hotel / Resort Name ]],2,0)</f>
        <v>#N/A</v>
      </c>
      <c r="D124" t="str">
        <f t="shared" si="11"/>
        <v>Premium</v>
      </c>
      <c r="E124" t="str">
        <f t="shared" si="9"/>
        <v>Budget</v>
      </c>
      <c r="F124" t="str">
        <f t="shared" si="10"/>
        <v>Standard</v>
      </c>
    </row>
    <row r="126" spans="1:6" x14ac:dyDescent="0.3">
      <c r="A126" t="str">
        <f>IF(B126="","",_xlfn.XLOOKUP(B126,'Raw'!D:D,'Raw'!B:B))</f>
        <v/>
      </c>
    </row>
    <row r="127" spans="1:6" x14ac:dyDescent="0.3">
      <c r="A127" t="str">
        <f>IF(B127="","",_xlfn.XLOOKUP(B127,'Raw'!D:D,'Raw'!B:B))</f>
        <v/>
      </c>
    </row>
    <row r="128" spans="1:6" x14ac:dyDescent="0.3">
      <c r="A128" t="str">
        <f>IF(B128="","",_xlfn.XLOOKUP(B128,'Raw'!D:D,'Raw'!B:B))</f>
        <v/>
      </c>
    </row>
    <row r="129" spans="1:1" x14ac:dyDescent="0.3">
      <c r="A129" t="str">
        <f>IF(B129="","",_xlfn.XLOOKUP(B129,'Raw'!D:D,'Raw'!B:B))</f>
        <v/>
      </c>
    </row>
    <row r="130" spans="1:1" x14ac:dyDescent="0.3">
      <c r="A130" t="str">
        <f>IF(B130="","",_xlfn.XLOOKUP(B130,'Raw'!D:D,'Raw'!B:B))</f>
        <v/>
      </c>
    </row>
    <row r="131" spans="1:1" x14ac:dyDescent="0.3">
      <c r="A131" t="str">
        <f>IF(B131="","",_xlfn.XLOOKUP(B131,'Raw'!D:D,'Raw'!B:B))</f>
        <v/>
      </c>
    </row>
    <row r="132" spans="1:1" x14ac:dyDescent="0.3">
      <c r="A132" t="str">
        <f>IF(B132="","",_xlfn.XLOOKUP(B132,'Raw'!D:D,'Raw'!B:B))</f>
        <v/>
      </c>
    </row>
    <row r="133" spans="1:1" x14ac:dyDescent="0.3">
      <c r="A133" t="str">
        <f>IF(B133="","",_xlfn.XLOOKUP(B133,'Raw'!D:D,'Raw'!B:B))</f>
        <v/>
      </c>
    </row>
    <row r="134" spans="1:1" x14ac:dyDescent="0.3">
      <c r="A134" t="str">
        <f>IF(B134="","",_xlfn.XLOOKUP(B134,'Raw'!D:D,'Raw'!B:B))</f>
        <v/>
      </c>
    </row>
    <row r="135" spans="1:1" x14ac:dyDescent="0.3">
      <c r="A135" t="str">
        <f>IF(B135="","",_xlfn.XLOOKUP(B135,'Raw'!D:D,'Raw'!B:B))</f>
        <v/>
      </c>
    </row>
    <row r="136" spans="1:1" x14ac:dyDescent="0.3">
      <c r="A136" t="str">
        <f>IF(B136="","",_xlfn.XLOOKUP(B136,'Raw'!D:D,'Raw'!B:B))</f>
        <v/>
      </c>
    </row>
    <row r="137" spans="1:1" x14ac:dyDescent="0.3">
      <c r="A137" t="str">
        <f>IF(B137="","",_xlfn.XLOOKUP(B137,'Raw'!D:D,'Raw'!B:B))</f>
        <v/>
      </c>
    </row>
    <row r="138" spans="1:1" x14ac:dyDescent="0.3">
      <c r="A138" t="str">
        <f>IF(B138="","",_xlfn.XLOOKUP(B138,'Raw'!D:D,'Raw'!B:B))</f>
        <v/>
      </c>
    </row>
    <row r="139" spans="1:1" x14ac:dyDescent="0.3">
      <c r="A139" t="str">
        <f>IF(B139="","",_xlfn.XLOOKUP(B139,'Raw'!D:D,'Raw'!B:B))</f>
        <v/>
      </c>
    </row>
    <row r="140" spans="1:1" x14ac:dyDescent="0.3">
      <c r="A140" t="str">
        <f>IF(B140="","",_xlfn.XLOOKUP(B140,'Raw'!D:D,'Raw'!B:B))</f>
        <v/>
      </c>
    </row>
    <row r="141" spans="1:1" x14ac:dyDescent="0.3">
      <c r="A141" t="str">
        <f>IF(B141="","",_xlfn.XLOOKUP(B141,'Raw'!D:D,'Raw'!B:B))</f>
        <v/>
      </c>
    </row>
    <row r="142" spans="1:1" x14ac:dyDescent="0.3">
      <c r="A142" t="str">
        <f>IF(B142="","",_xlfn.XLOOKUP(B142,'Raw'!D:D,'Raw'!B:B))</f>
        <v/>
      </c>
    </row>
    <row r="143" spans="1:1" x14ac:dyDescent="0.3">
      <c r="A143" t="str">
        <f>IF(B143="","",_xlfn.XLOOKUP(B143,'Raw'!D:D,'Raw'!B:B))</f>
        <v/>
      </c>
    </row>
    <row r="144" spans="1:1" x14ac:dyDescent="0.3">
      <c r="A144" t="str">
        <f>IF(B144="","",_xlfn.XLOOKUP(B144,'Raw'!D:D,'Raw'!B:B))</f>
        <v/>
      </c>
    </row>
    <row r="145" spans="1:1" x14ac:dyDescent="0.3">
      <c r="A145" t="str">
        <f>IF(B145="","",_xlfn.XLOOKUP(B145,'Raw'!D:D,'Raw'!B:B))</f>
        <v/>
      </c>
    </row>
    <row r="146" spans="1:1" x14ac:dyDescent="0.3">
      <c r="A146" t="str">
        <f>IF(B146="","",_xlfn.XLOOKUP(B146,'Raw'!D:D,'Raw'!B:B))</f>
        <v/>
      </c>
    </row>
    <row r="147" spans="1:1" x14ac:dyDescent="0.3">
      <c r="A147" t="str">
        <f>IF(B147="","",_xlfn.XLOOKUP(B147,'Raw'!D:D,'Raw'!B:B))</f>
        <v/>
      </c>
    </row>
    <row r="148" spans="1:1" x14ac:dyDescent="0.3">
      <c r="A148" t="str">
        <f>IF(B148="","",_xlfn.XLOOKUP(B148,'Raw'!D:D,'Raw'!B:B))</f>
        <v/>
      </c>
    </row>
    <row r="149" spans="1:1" x14ac:dyDescent="0.3">
      <c r="A149" t="str">
        <f>IF(B149="","",_xlfn.XLOOKUP(B149,'Raw'!D:D,'Raw'!B:B))</f>
        <v/>
      </c>
    </row>
    <row r="150" spans="1:1" x14ac:dyDescent="0.3">
      <c r="A150" t="str">
        <f>IF(B150="","",_xlfn.XLOOKUP(B150,'Raw'!D:D,'Raw'!B:B))</f>
        <v/>
      </c>
    </row>
    <row r="151" spans="1:1" x14ac:dyDescent="0.3">
      <c r="A151" t="str">
        <f>IF(B151="","",_xlfn.XLOOKUP(B151,'Raw'!D:D,'Raw'!B:B))</f>
        <v/>
      </c>
    </row>
    <row r="152" spans="1:1" x14ac:dyDescent="0.3">
      <c r="A152" t="str">
        <f>IF(B152="","",_xlfn.XLOOKUP(B152,'Raw'!D:D,'Raw'!B:B))</f>
        <v/>
      </c>
    </row>
    <row r="153" spans="1:1" x14ac:dyDescent="0.3">
      <c r="A153" t="str">
        <f>IF(B153="","",_xlfn.XLOOKUP(B153,'Raw'!D:D,'Raw'!B:B))</f>
        <v/>
      </c>
    </row>
    <row r="154" spans="1:1" x14ac:dyDescent="0.3">
      <c r="A154" t="str">
        <f>IF(B154="","",_xlfn.XLOOKUP(B154,'Raw'!D:D,'Raw'!B:B))</f>
        <v/>
      </c>
    </row>
    <row r="155" spans="1:1" x14ac:dyDescent="0.3">
      <c r="A155" t="str">
        <f>IF(B155="","",_xlfn.XLOOKUP(B155,'Raw'!D:D,'Raw'!B:B))</f>
        <v/>
      </c>
    </row>
    <row r="156" spans="1:1" x14ac:dyDescent="0.3">
      <c r="A156" t="str">
        <f>IF(B156="","",_xlfn.XLOOKUP(B156,'Raw'!D:D,'Raw'!B:B))</f>
        <v/>
      </c>
    </row>
    <row r="157" spans="1:1" x14ac:dyDescent="0.3">
      <c r="A157" t="str">
        <f>IF(B157="","",_xlfn.XLOOKUP(B157,'Raw'!D:D,'Raw'!B:B))</f>
        <v/>
      </c>
    </row>
    <row r="158" spans="1:1" x14ac:dyDescent="0.3">
      <c r="A158" t="str">
        <f>IF(B158="","",_xlfn.XLOOKUP(B158,'Raw'!D:D,'Raw'!B:B))</f>
        <v/>
      </c>
    </row>
    <row r="159" spans="1:1" x14ac:dyDescent="0.3">
      <c r="A159" t="str">
        <f>IF(B159="","",_xlfn.XLOOKUP(B159,'Raw'!D:D,'Raw'!B:B))</f>
        <v/>
      </c>
    </row>
    <row r="160" spans="1:1" x14ac:dyDescent="0.3">
      <c r="A160" t="str">
        <f>IF(B160="","",_xlfn.XLOOKUP(B160,'Raw'!D:D,'Raw'!B:B))</f>
        <v/>
      </c>
    </row>
    <row r="161" spans="1:1" x14ac:dyDescent="0.3">
      <c r="A161" t="str">
        <f>IF(B161="","",_xlfn.XLOOKUP(B161,'Raw'!D:D,'Raw'!B:B))</f>
        <v/>
      </c>
    </row>
    <row r="162" spans="1:1" x14ac:dyDescent="0.3">
      <c r="A162" t="str">
        <f>IF(B162="","",_xlfn.XLOOKUP(B162,'Raw'!D:D,'Raw'!B:B))</f>
        <v/>
      </c>
    </row>
    <row r="163" spans="1:1" x14ac:dyDescent="0.3">
      <c r="A163" t="str">
        <f>IF(B163="","",_xlfn.XLOOKUP(B163,'Raw'!D:D,'Raw'!B:B))</f>
        <v/>
      </c>
    </row>
    <row r="164" spans="1:1" x14ac:dyDescent="0.3">
      <c r="A164" t="str">
        <f>IF(B164="","",_xlfn.XLOOKUP(B164,'Raw'!D:D,'Raw'!B:B))</f>
        <v/>
      </c>
    </row>
    <row r="165" spans="1:1" x14ac:dyDescent="0.3">
      <c r="A165" t="str">
        <f>IF(B165="","",_xlfn.XLOOKUP(B165,'Raw'!D:D,'Raw'!B:B))</f>
        <v/>
      </c>
    </row>
    <row r="166" spans="1:1" x14ac:dyDescent="0.3">
      <c r="A166" t="str">
        <f>IF(B166="","",_xlfn.XLOOKUP(B166,'Raw'!D:D,'Raw'!B:B))</f>
        <v/>
      </c>
    </row>
    <row r="167" spans="1:1" x14ac:dyDescent="0.3">
      <c r="A167" t="str">
        <f>IF(B167="","",_xlfn.XLOOKUP(B167,'Raw'!D:D,'Raw'!B:B))</f>
        <v/>
      </c>
    </row>
    <row r="168" spans="1:1" x14ac:dyDescent="0.3">
      <c r="A168" t="str">
        <f>IF(B168="","",_xlfn.XLOOKUP(B168,'Raw'!D:D,'Raw'!B:B))</f>
        <v/>
      </c>
    </row>
    <row r="169" spans="1:1" x14ac:dyDescent="0.3">
      <c r="A169" t="str">
        <f>IF(B169="","",_xlfn.XLOOKUP(B169,'Raw'!D:D,'Raw'!B:B))</f>
        <v/>
      </c>
    </row>
    <row r="170" spans="1:1" x14ac:dyDescent="0.3">
      <c r="A170" t="str">
        <f>IF(B170="","",_xlfn.XLOOKUP(B170,'Raw'!D:D,'Raw'!B:B))</f>
        <v/>
      </c>
    </row>
    <row r="171" spans="1:1" x14ac:dyDescent="0.3">
      <c r="A171" t="str">
        <f>IF(B171="","",_xlfn.XLOOKUP(B171,'Raw'!D:D,'Raw'!B:B))</f>
        <v/>
      </c>
    </row>
    <row r="172" spans="1:1" x14ac:dyDescent="0.3">
      <c r="A172" t="str">
        <f>IF(B172="","",_xlfn.XLOOKUP(B172,'Raw'!D:D,'Raw'!B:B))</f>
        <v/>
      </c>
    </row>
    <row r="173" spans="1:1" x14ac:dyDescent="0.3">
      <c r="A173" t="str">
        <f>IF(B173="","",_xlfn.XLOOKUP(B173,'Raw'!D:D,'Raw'!B:B))</f>
        <v/>
      </c>
    </row>
    <row r="174" spans="1:1" x14ac:dyDescent="0.3">
      <c r="A174" t="str">
        <f>IF(B174="","",_xlfn.XLOOKUP(B174,'Raw'!D:D,'Raw'!B:B))</f>
        <v/>
      </c>
    </row>
    <row r="175" spans="1:1" x14ac:dyDescent="0.3">
      <c r="A175" t="str">
        <f>IF(B175="","",_xlfn.XLOOKUP(B175,'Raw'!D:D,'Raw'!B:B))</f>
        <v/>
      </c>
    </row>
    <row r="176" spans="1:1" x14ac:dyDescent="0.3">
      <c r="A176" t="str">
        <f>IF(B176="","",_xlfn.XLOOKUP(B176,'Raw'!D:D,'Raw'!B:B))</f>
        <v/>
      </c>
    </row>
    <row r="177" spans="1:1" x14ac:dyDescent="0.3">
      <c r="A177" t="str">
        <f>IF(B177="","",_xlfn.XLOOKUP(B177,'Raw'!D:D,'Raw'!B:B))</f>
        <v/>
      </c>
    </row>
    <row r="178" spans="1:1" x14ac:dyDescent="0.3">
      <c r="A178" t="str">
        <f>IF(B178="","",_xlfn.XLOOKUP(B178,'Raw'!D:D,'Raw'!B:B))</f>
        <v/>
      </c>
    </row>
    <row r="179" spans="1:1" x14ac:dyDescent="0.3">
      <c r="A179" t="str">
        <f>IF(B179="","",_xlfn.XLOOKUP(B179,'Raw'!D:D,'Raw'!B:B))</f>
        <v/>
      </c>
    </row>
    <row r="180" spans="1:1" x14ac:dyDescent="0.3">
      <c r="A180" t="str">
        <f>IF(B180="","",_xlfn.XLOOKUP(B180,'Raw'!D:D,'Raw'!B:B))</f>
        <v/>
      </c>
    </row>
    <row r="181" spans="1:1" x14ac:dyDescent="0.3">
      <c r="A181" t="str">
        <f>IF(B181="","",_xlfn.XLOOKUP(B181,'Raw'!D:D,'Raw'!B:B))</f>
        <v/>
      </c>
    </row>
    <row r="182" spans="1:1" x14ac:dyDescent="0.3">
      <c r="A182" t="str">
        <f>IF(B182="","",_xlfn.XLOOKUP(B182,'Raw'!D:D,'Raw'!B:B))</f>
        <v/>
      </c>
    </row>
    <row r="183" spans="1:1" x14ac:dyDescent="0.3">
      <c r="A183" t="str">
        <f>IF(B183="","",_xlfn.XLOOKUP(B183,'Raw'!D:D,'Raw'!B:B))</f>
        <v/>
      </c>
    </row>
    <row r="184" spans="1:1" x14ac:dyDescent="0.3">
      <c r="A184" t="str">
        <f>IF(B184="","",_xlfn.XLOOKUP(B184,'Raw'!D:D,'Raw'!B:B))</f>
        <v/>
      </c>
    </row>
    <row r="185" spans="1:1" x14ac:dyDescent="0.3">
      <c r="A185" t="str">
        <f>IF(B185="","",_xlfn.XLOOKUP(B185,'Raw'!D:D,'Raw'!B:B))</f>
        <v/>
      </c>
    </row>
    <row r="186" spans="1:1" x14ac:dyDescent="0.3">
      <c r="A186" t="str">
        <f>IF(B186="","",_xlfn.XLOOKUP(B186,'Raw'!D:D,'Raw'!B:B))</f>
        <v/>
      </c>
    </row>
    <row r="187" spans="1:1" x14ac:dyDescent="0.3">
      <c r="A187" t="str">
        <f>IF(B187="","",_xlfn.XLOOKUP(B187,'Raw'!D:D,'Raw'!B:B))</f>
        <v/>
      </c>
    </row>
    <row r="188" spans="1:1" x14ac:dyDescent="0.3">
      <c r="A188" t="str">
        <f>IF(B188="","",_xlfn.XLOOKUP(B188,'Raw'!D:D,'Raw'!B:B))</f>
        <v/>
      </c>
    </row>
    <row r="189" spans="1:1" x14ac:dyDescent="0.3">
      <c r="A189" t="str">
        <f>IF(B189="","",_xlfn.XLOOKUP(B189,'Raw'!D:D,'Raw'!B:B))</f>
        <v/>
      </c>
    </row>
    <row r="190" spans="1:1" x14ac:dyDescent="0.3">
      <c r="A190" t="str">
        <f>IF(B190="","",_xlfn.XLOOKUP(B190,'Raw'!D:D,'Raw'!B:B))</f>
        <v/>
      </c>
    </row>
    <row r="191" spans="1:1" x14ac:dyDescent="0.3">
      <c r="A191" t="str">
        <f>IF(B191="","",_xlfn.XLOOKUP(B191,'Raw'!D:D,'Raw'!B:B))</f>
        <v/>
      </c>
    </row>
    <row r="192" spans="1:1" x14ac:dyDescent="0.3">
      <c r="A192" t="str">
        <f>IF(B192="","",_xlfn.XLOOKUP(B192,'Raw'!D:D,'Raw'!B:B))</f>
        <v/>
      </c>
    </row>
    <row r="193" spans="1:1" x14ac:dyDescent="0.3">
      <c r="A193" t="str">
        <f>IF(B193="","",_xlfn.XLOOKUP(B193,'Raw'!D:D,'Raw'!B:B))</f>
        <v/>
      </c>
    </row>
    <row r="194" spans="1:1" x14ac:dyDescent="0.3">
      <c r="A194" t="str">
        <f>IF(B194="","",_xlfn.XLOOKUP(B194,'Raw'!D:D,'Raw'!B:B))</f>
        <v/>
      </c>
    </row>
    <row r="195" spans="1:1" x14ac:dyDescent="0.3">
      <c r="A195" t="str">
        <f>IF(B195="","",_xlfn.XLOOKUP(B195,'Raw'!D:D,'Raw'!B:B))</f>
        <v/>
      </c>
    </row>
    <row r="196" spans="1:1" x14ac:dyDescent="0.3">
      <c r="A196" t="str">
        <f>IF(B196="","",_xlfn.XLOOKUP(B196,'Raw'!D:D,'Raw'!B:B))</f>
        <v/>
      </c>
    </row>
    <row r="197" spans="1:1" x14ac:dyDescent="0.3">
      <c r="A197" t="str">
        <f>IF(B197="","",_xlfn.XLOOKUP(B197,'Raw'!D:D,'Raw'!B:B))</f>
        <v/>
      </c>
    </row>
    <row r="198" spans="1:1" x14ac:dyDescent="0.3">
      <c r="A198" t="str">
        <f>IF(B198="","",_xlfn.XLOOKUP(B198,'Raw'!D:D,'Raw'!B:B))</f>
        <v/>
      </c>
    </row>
    <row r="199" spans="1:1" x14ac:dyDescent="0.3">
      <c r="A199" t="str">
        <f>IF(B199="","",_xlfn.XLOOKUP(B199,'Raw'!D:D,'Raw'!B:B))</f>
        <v/>
      </c>
    </row>
    <row r="200" spans="1:1" x14ac:dyDescent="0.3">
      <c r="A200" t="str">
        <f>IF(B200="","",_xlfn.XLOOKUP(B200,'Raw'!D:D,'Raw'!B:B))</f>
        <v/>
      </c>
    </row>
    <row r="201" spans="1:1" x14ac:dyDescent="0.3">
      <c r="A201" t="str">
        <f>IF(B201="","",_xlfn.XLOOKUP(B201,'Raw'!D:D,'Raw'!B:B))</f>
        <v/>
      </c>
    </row>
    <row r="202" spans="1:1" x14ac:dyDescent="0.3">
      <c r="A202" t="str">
        <f>IF(B202="","",_xlfn.XLOOKUP(B202,'Raw'!D:D,'Raw'!B:B))</f>
        <v/>
      </c>
    </row>
    <row r="203" spans="1:1" x14ac:dyDescent="0.3">
      <c r="A203" t="str">
        <f>IF(B203="","",_xlfn.XLOOKUP(B203,'Raw'!D:D,'Raw'!B:B))</f>
        <v/>
      </c>
    </row>
    <row r="204" spans="1:1" x14ac:dyDescent="0.3">
      <c r="A204" t="str">
        <f>IF(B204="","",_xlfn.XLOOKUP(B204,'Raw'!D:D,'Raw'!B:B))</f>
        <v/>
      </c>
    </row>
    <row r="205" spans="1:1" x14ac:dyDescent="0.3">
      <c r="A205" t="str">
        <f>IF(B205="","",_xlfn.XLOOKUP(B205,'Raw'!D:D,'Raw'!B:B))</f>
        <v/>
      </c>
    </row>
    <row r="206" spans="1:1" x14ac:dyDescent="0.3">
      <c r="A206" t="str">
        <f>IF(B206="","",_xlfn.XLOOKUP(B206,'Raw'!D:D,'Raw'!B:B))</f>
        <v/>
      </c>
    </row>
    <row r="207" spans="1:1" x14ac:dyDescent="0.3">
      <c r="A207" t="str">
        <f>IF(B207="","",_xlfn.XLOOKUP(B207,'Raw'!D:D,'Raw'!B:B))</f>
        <v/>
      </c>
    </row>
    <row r="208" spans="1:1" x14ac:dyDescent="0.3">
      <c r="A208" t="str">
        <f>IF(B208="","",_xlfn.XLOOKUP(B208,'Raw'!D:D,'Raw'!B:B))</f>
        <v/>
      </c>
    </row>
    <row r="209" spans="1:1" x14ac:dyDescent="0.3">
      <c r="A209" t="str">
        <f>IF(B209="","",_xlfn.XLOOKUP(B209,'Raw'!D:D,'Raw'!B:B))</f>
        <v/>
      </c>
    </row>
    <row r="210" spans="1:1" x14ac:dyDescent="0.3">
      <c r="A210" t="str">
        <f>IF(B210="","",_xlfn.XLOOKUP(B210,'Raw'!D:D,'Raw'!B:B))</f>
        <v/>
      </c>
    </row>
    <row r="211" spans="1:1" x14ac:dyDescent="0.3">
      <c r="A211" t="str">
        <f>IF(B211="","",_xlfn.XLOOKUP(B211,'Raw'!D:D,'Raw'!B:B))</f>
        <v/>
      </c>
    </row>
    <row r="212" spans="1:1" x14ac:dyDescent="0.3">
      <c r="A212" t="str">
        <f>IF(B212="","",_xlfn.XLOOKUP(B212,'Raw'!D:D,'Raw'!B:B))</f>
        <v/>
      </c>
    </row>
    <row r="213" spans="1:1" x14ac:dyDescent="0.3">
      <c r="A213" t="str">
        <f>IF(B213="","",_xlfn.XLOOKUP(B213,'Raw'!D:D,'Raw'!B:B))</f>
        <v/>
      </c>
    </row>
    <row r="214" spans="1:1" x14ac:dyDescent="0.3">
      <c r="A214" t="str">
        <f>IF(B214="","",_xlfn.XLOOKUP(B214,'Raw'!D:D,'Raw'!B:B))</f>
        <v/>
      </c>
    </row>
    <row r="215" spans="1:1" x14ac:dyDescent="0.3">
      <c r="A215" t="str">
        <f>IF(B215="","",_xlfn.XLOOKUP(B215,'Raw'!D:D,'Raw'!B:B))</f>
        <v/>
      </c>
    </row>
    <row r="216" spans="1:1" x14ac:dyDescent="0.3">
      <c r="A216" t="str">
        <f>IF(B216="","",_xlfn.XLOOKUP(B216,'Raw'!D:D,'Raw'!B:B))</f>
        <v/>
      </c>
    </row>
    <row r="217" spans="1:1" x14ac:dyDescent="0.3">
      <c r="A217" t="str">
        <f>IF(B217="","",_xlfn.XLOOKUP(B217,'Raw'!D:D,'Raw'!B:B))</f>
        <v/>
      </c>
    </row>
    <row r="218" spans="1:1" x14ac:dyDescent="0.3">
      <c r="A218" t="str">
        <f>IF(B218="","",_xlfn.XLOOKUP(B218,'Raw'!D:D,'Raw'!B:B))</f>
        <v/>
      </c>
    </row>
    <row r="219" spans="1:1" x14ac:dyDescent="0.3">
      <c r="A219" t="str">
        <f>IF(B219="","",_xlfn.XLOOKUP(B219,'Raw'!D:D,'Raw'!B:B))</f>
        <v/>
      </c>
    </row>
    <row r="220" spans="1:1" x14ac:dyDescent="0.3">
      <c r="A220" t="str">
        <f>IF(B220="","",_xlfn.XLOOKUP(B220,'Raw'!D:D,'Raw'!B:B))</f>
        <v/>
      </c>
    </row>
    <row r="221" spans="1:1" x14ac:dyDescent="0.3">
      <c r="A221" t="str">
        <f>IF(B221="","",_xlfn.XLOOKUP(B221,'Raw'!D:D,'Raw'!B:B))</f>
        <v/>
      </c>
    </row>
    <row r="222" spans="1:1" x14ac:dyDescent="0.3">
      <c r="A222" t="str">
        <f>IF(B222="","",_xlfn.XLOOKUP(B222,'Raw'!D:D,'Raw'!B:B))</f>
        <v/>
      </c>
    </row>
    <row r="223" spans="1:1" x14ac:dyDescent="0.3">
      <c r="A223" t="str">
        <f>IF(B223="","",_xlfn.XLOOKUP(B223,'Raw'!D:D,'Raw'!B:B))</f>
        <v/>
      </c>
    </row>
    <row r="224" spans="1:1" x14ac:dyDescent="0.3">
      <c r="A224" t="str">
        <f>IF(B224="","",_xlfn.XLOOKUP(B224,'Raw'!D:D,'Raw'!B:B))</f>
        <v/>
      </c>
    </row>
    <row r="225" spans="1:1" x14ac:dyDescent="0.3">
      <c r="A225" t="str">
        <f>IF(B225="","",_xlfn.XLOOKUP(B225,'Raw'!D:D,'Raw'!B:B))</f>
        <v/>
      </c>
    </row>
    <row r="226" spans="1:1" x14ac:dyDescent="0.3">
      <c r="A226" t="str">
        <f>IF(B226="","",_xlfn.XLOOKUP(B226,'Raw'!D:D,'Raw'!B:B))</f>
        <v/>
      </c>
    </row>
    <row r="227" spans="1:1" x14ac:dyDescent="0.3">
      <c r="A227" t="str">
        <f>IF(B227="","",_xlfn.XLOOKUP(B227,'Raw'!D:D,'Raw'!B:B))</f>
        <v/>
      </c>
    </row>
    <row r="228" spans="1:1" x14ac:dyDescent="0.3">
      <c r="A228" t="str">
        <f>IF(B228="","",_xlfn.XLOOKUP(B228,'Raw'!D:D,'Raw'!B:B))</f>
        <v/>
      </c>
    </row>
    <row r="229" spans="1:1" x14ac:dyDescent="0.3">
      <c r="A229" t="str">
        <f>IF(B229="","",_xlfn.XLOOKUP(B229,'Raw'!D:D,'Raw'!B:B))</f>
        <v/>
      </c>
    </row>
    <row r="230" spans="1:1" x14ac:dyDescent="0.3">
      <c r="A230" t="str">
        <f>IF(B230="","",_xlfn.XLOOKUP(B230,'Raw'!D:D,'Raw'!B:B))</f>
        <v/>
      </c>
    </row>
    <row r="231" spans="1:1" x14ac:dyDescent="0.3">
      <c r="A231" t="str">
        <f>IF(B231="","",_xlfn.XLOOKUP(B231,'Raw'!D:D,'Raw'!B:B))</f>
        <v/>
      </c>
    </row>
    <row r="232" spans="1:1" x14ac:dyDescent="0.3">
      <c r="A232" t="str">
        <f>IF(B232="","",_xlfn.XLOOKUP(B232,'Raw'!D:D,'Raw'!B:B))</f>
        <v/>
      </c>
    </row>
    <row r="233" spans="1:1" x14ac:dyDescent="0.3">
      <c r="A233" t="str">
        <f>IF(B233="","",_xlfn.XLOOKUP(B233,'Raw'!D:D,'Raw'!B:B))</f>
        <v/>
      </c>
    </row>
    <row r="234" spans="1:1" x14ac:dyDescent="0.3">
      <c r="A234" t="str">
        <f>IF(B234="","",_xlfn.XLOOKUP(B234,'Raw'!D:D,'Raw'!B:B))</f>
        <v/>
      </c>
    </row>
    <row r="235" spans="1:1" x14ac:dyDescent="0.3">
      <c r="A235" t="str">
        <f>IF(B235="","",_xlfn.XLOOKUP(B235,'Raw'!D:D,'Raw'!B:B))</f>
        <v/>
      </c>
    </row>
    <row r="236" spans="1:1" x14ac:dyDescent="0.3">
      <c r="A236" t="str">
        <f>IF(B236="","",_xlfn.XLOOKUP(B236,'Raw'!D:D,'Raw'!B:B))</f>
        <v/>
      </c>
    </row>
    <row r="237" spans="1:1" x14ac:dyDescent="0.3">
      <c r="A237" t="str">
        <f>IF(B237="","",_xlfn.XLOOKUP(B237,'Raw'!D:D,'Raw'!B:B))</f>
        <v/>
      </c>
    </row>
    <row r="238" spans="1:1" x14ac:dyDescent="0.3">
      <c r="A238" t="str">
        <f>IF(B238="","",_xlfn.XLOOKUP(B238,'Raw'!D:D,'Raw'!B:B))</f>
        <v/>
      </c>
    </row>
    <row r="239" spans="1:1" x14ac:dyDescent="0.3">
      <c r="A239" t="str">
        <f>IF(B239="","",_xlfn.XLOOKUP(B239,'Raw'!D:D,'Raw'!B:B))</f>
        <v/>
      </c>
    </row>
    <row r="240" spans="1:1" x14ac:dyDescent="0.3">
      <c r="A240" t="str">
        <f>IF(B240="","",_xlfn.XLOOKUP(B240,'Raw'!D:D,'Raw'!B:B))</f>
        <v/>
      </c>
    </row>
    <row r="241" spans="1:1" x14ac:dyDescent="0.3">
      <c r="A241" t="str">
        <f>IF(B241="","",_xlfn.XLOOKUP(B241,'Raw'!D:D,'Raw'!B:B))</f>
        <v/>
      </c>
    </row>
    <row r="242" spans="1:1" x14ac:dyDescent="0.3">
      <c r="A242" t="str">
        <f>IF(B242="","",_xlfn.XLOOKUP(B242,'Raw'!D:D,'Raw'!B:B))</f>
        <v/>
      </c>
    </row>
    <row r="243" spans="1:1" x14ac:dyDescent="0.3">
      <c r="A243" t="str">
        <f>IF(B243="","",_xlfn.XLOOKUP(B243,'Raw'!D:D,'Raw'!B:B))</f>
        <v/>
      </c>
    </row>
    <row r="244" spans="1:1" x14ac:dyDescent="0.3">
      <c r="A244" t="str">
        <f>IF(B244="","",_xlfn.XLOOKUP(B244,'Raw'!D:D,'Raw'!B:B))</f>
        <v/>
      </c>
    </row>
    <row r="245" spans="1:1" x14ac:dyDescent="0.3">
      <c r="A245" t="str">
        <f>IF(B245="","",_xlfn.XLOOKUP(B245,'Raw'!D:D,'Raw'!B:B))</f>
        <v/>
      </c>
    </row>
    <row r="246" spans="1:1" x14ac:dyDescent="0.3">
      <c r="A246" t="str">
        <f>IF(B246="","",_xlfn.XLOOKUP(B246,'Raw'!D:D,'Raw'!B:B))</f>
        <v/>
      </c>
    </row>
    <row r="247" spans="1:1" x14ac:dyDescent="0.3">
      <c r="A247" t="str">
        <f>IF(B247="","",_xlfn.XLOOKUP(B247,'Raw'!D:D,'Raw'!B:B))</f>
        <v/>
      </c>
    </row>
    <row r="248" spans="1:1" x14ac:dyDescent="0.3">
      <c r="A248" t="str">
        <f>IF(B248="","",_xlfn.XLOOKUP(B248,'Raw'!D:D,'Raw'!B:B))</f>
        <v/>
      </c>
    </row>
    <row r="249" spans="1:1" x14ac:dyDescent="0.3">
      <c r="A249" t="str">
        <f>IF(B249="","",_xlfn.XLOOKUP(B249,'Raw'!D:D,'Raw'!B:B))</f>
        <v/>
      </c>
    </row>
    <row r="250" spans="1:1" x14ac:dyDescent="0.3">
      <c r="A250" t="str">
        <f>IF(B250="","",_xlfn.XLOOKUP(B250,'Raw'!D:D,'Raw'!B:B))</f>
        <v/>
      </c>
    </row>
    <row r="251" spans="1:1" x14ac:dyDescent="0.3">
      <c r="A251" t="str">
        <f>IF(B251="","",_xlfn.XLOOKUP(B251,'Raw'!D:D,'Raw'!B:B))</f>
        <v/>
      </c>
    </row>
    <row r="252" spans="1:1" x14ac:dyDescent="0.3">
      <c r="A252" t="str">
        <f>IF(B252="","",_xlfn.XLOOKUP(B252,'Raw'!D:D,'Raw'!B:B))</f>
        <v/>
      </c>
    </row>
    <row r="253" spans="1:1" x14ac:dyDescent="0.3">
      <c r="A253" t="str">
        <f>IF(B253="","",_xlfn.XLOOKUP(B253,'Raw'!D:D,'Raw'!B:B))</f>
        <v/>
      </c>
    </row>
    <row r="254" spans="1:1" x14ac:dyDescent="0.3">
      <c r="A254" t="str">
        <f>IF(B254="","",_xlfn.XLOOKUP(B254,'Raw'!D:D,'Raw'!B:B))</f>
        <v/>
      </c>
    </row>
    <row r="255" spans="1:1" x14ac:dyDescent="0.3">
      <c r="A255" t="str">
        <f>IF(B255="","",_xlfn.XLOOKUP(B255,'Raw'!D:D,'Raw'!B:B))</f>
        <v/>
      </c>
    </row>
    <row r="256" spans="1:1" x14ac:dyDescent="0.3">
      <c r="A256" t="str">
        <f>IF(B256="","",_xlfn.XLOOKUP(B256,'Raw'!D:D,'Raw'!B:B))</f>
        <v/>
      </c>
    </row>
    <row r="257" spans="1:1" x14ac:dyDescent="0.3">
      <c r="A257" t="str">
        <f>IF(B257="","",_xlfn.XLOOKUP(B257,'Raw'!D:D,'Raw'!B:B))</f>
        <v/>
      </c>
    </row>
    <row r="258" spans="1:1" x14ac:dyDescent="0.3">
      <c r="A258" t="str">
        <f>IF(B258="","",_xlfn.XLOOKUP(B258,'Raw'!D:D,'Raw'!B:B))</f>
        <v/>
      </c>
    </row>
    <row r="259" spans="1:1" x14ac:dyDescent="0.3">
      <c r="A259" t="str">
        <f>IF(B259="","",_xlfn.XLOOKUP(B259,'Raw'!D:D,'Raw'!B:B))</f>
        <v/>
      </c>
    </row>
    <row r="260" spans="1:1" x14ac:dyDescent="0.3">
      <c r="A260" t="str">
        <f>IF(B260="","",_xlfn.XLOOKUP(B260,'Raw'!D:D,'Raw'!B:B))</f>
        <v/>
      </c>
    </row>
    <row r="261" spans="1:1" x14ac:dyDescent="0.3">
      <c r="A261" t="str">
        <f>IF(B261="","",_xlfn.XLOOKUP(B261,'Raw'!D:D,'Raw'!B:B))</f>
        <v/>
      </c>
    </row>
    <row r="262" spans="1:1" x14ac:dyDescent="0.3">
      <c r="A262" t="str">
        <f>IF(B262="","",_xlfn.XLOOKUP(B262,'Raw'!D:D,'Raw'!B:B))</f>
        <v/>
      </c>
    </row>
    <row r="263" spans="1:1" x14ac:dyDescent="0.3">
      <c r="A263" t="str">
        <f>IF(B263="","",_xlfn.XLOOKUP(B263,'Raw'!D:D,'Raw'!B:B))</f>
        <v/>
      </c>
    </row>
    <row r="264" spans="1:1" x14ac:dyDescent="0.3">
      <c r="A264" t="str">
        <f>IF(B264="","",_xlfn.XLOOKUP(B264,'Raw'!D:D,'Raw'!B:B))</f>
        <v/>
      </c>
    </row>
    <row r="265" spans="1:1" x14ac:dyDescent="0.3">
      <c r="A265" t="str">
        <f>IF(B265="","",_xlfn.XLOOKUP(B265,'Raw'!D:D,'Raw'!B:B))</f>
        <v/>
      </c>
    </row>
    <row r="266" spans="1:1" x14ac:dyDescent="0.3">
      <c r="A266" t="str">
        <f>IF(B266="","",_xlfn.XLOOKUP(B266,'Raw'!D:D,'Raw'!B:B))</f>
        <v/>
      </c>
    </row>
    <row r="267" spans="1:1" x14ac:dyDescent="0.3">
      <c r="A267" t="str">
        <f>IF(B267="","",_xlfn.XLOOKUP(B267,'Raw'!D:D,'Raw'!B:B))</f>
        <v/>
      </c>
    </row>
    <row r="268" spans="1:1" x14ac:dyDescent="0.3">
      <c r="A268" t="str">
        <f>IF(B268="","",_xlfn.XLOOKUP(B268,'Raw'!D:D,'Raw'!B:B))</f>
        <v/>
      </c>
    </row>
    <row r="269" spans="1:1" x14ac:dyDescent="0.3">
      <c r="A269" t="str">
        <f>IF(B269="","",_xlfn.XLOOKUP(B269,'Raw'!D:D,'Raw'!B:B))</f>
        <v/>
      </c>
    </row>
    <row r="270" spans="1:1" x14ac:dyDescent="0.3">
      <c r="A270" t="str">
        <f>IF(B270="","",_xlfn.XLOOKUP(B270,'Raw'!D:D,'Raw'!B:B))</f>
        <v/>
      </c>
    </row>
    <row r="271" spans="1:1" x14ac:dyDescent="0.3">
      <c r="A271" t="str">
        <f>IF(B271="","",_xlfn.XLOOKUP(B271,'Raw'!D:D,'Raw'!B:B))</f>
        <v/>
      </c>
    </row>
    <row r="272" spans="1:1" x14ac:dyDescent="0.3">
      <c r="A272" t="str">
        <f>IF(B272="","",_xlfn.XLOOKUP(B272,'Raw'!D:D,'Raw'!B:B))</f>
        <v/>
      </c>
    </row>
    <row r="273" spans="1:1" x14ac:dyDescent="0.3">
      <c r="A273" t="str">
        <f>IF(B273="","",_xlfn.XLOOKUP(B273,'Raw'!D:D,'Raw'!B:B))</f>
        <v/>
      </c>
    </row>
    <row r="274" spans="1:1" x14ac:dyDescent="0.3">
      <c r="A274" t="str">
        <f>IF(B274="","",_xlfn.XLOOKUP(B274,'Raw'!D:D,'Raw'!B:B))</f>
        <v/>
      </c>
    </row>
    <row r="275" spans="1:1" x14ac:dyDescent="0.3">
      <c r="A275" t="str">
        <f>IF(B275="","",_xlfn.XLOOKUP(B275,'Raw'!D:D,'Raw'!B:B))</f>
        <v/>
      </c>
    </row>
    <row r="276" spans="1:1" x14ac:dyDescent="0.3">
      <c r="A276" t="str">
        <f>IF(B276="","",_xlfn.XLOOKUP(B276,'Raw'!D:D,'Raw'!B:B))</f>
        <v/>
      </c>
    </row>
    <row r="277" spans="1:1" x14ac:dyDescent="0.3">
      <c r="A277" t="str">
        <f>IF(B277="","",_xlfn.XLOOKUP(B277,'Raw'!D:D,'Raw'!B:B))</f>
        <v/>
      </c>
    </row>
    <row r="278" spans="1:1" x14ac:dyDescent="0.3">
      <c r="A278" t="str">
        <f>IF(B278="","",_xlfn.XLOOKUP(B278,'Raw'!D:D,'Raw'!B:B))</f>
        <v/>
      </c>
    </row>
    <row r="279" spans="1:1" x14ac:dyDescent="0.3">
      <c r="A279" t="str">
        <f>IF(B279="","",_xlfn.XLOOKUP(B279,'Raw'!D:D,'Raw'!B:B))</f>
        <v/>
      </c>
    </row>
    <row r="280" spans="1:1" x14ac:dyDescent="0.3">
      <c r="A280" t="str">
        <f>IF(B280="","",_xlfn.XLOOKUP(B280,'Raw'!D:D,'Raw'!B:B))</f>
        <v/>
      </c>
    </row>
    <row r="281" spans="1:1" x14ac:dyDescent="0.3">
      <c r="A281" t="str">
        <f>IF(B281="","",_xlfn.XLOOKUP(B281,'Raw'!D:D,'Raw'!B:B))</f>
        <v/>
      </c>
    </row>
    <row r="282" spans="1:1" x14ac:dyDescent="0.3">
      <c r="A282" t="str">
        <f>IF(B282="","",_xlfn.XLOOKUP(B282,'Raw'!D:D,'Raw'!B:B))</f>
        <v/>
      </c>
    </row>
    <row r="283" spans="1:1" x14ac:dyDescent="0.3">
      <c r="A283" t="str">
        <f>IF(B283="","",_xlfn.XLOOKUP(B283,'Raw'!D:D,'Raw'!B:B))</f>
        <v/>
      </c>
    </row>
    <row r="284" spans="1:1" x14ac:dyDescent="0.3">
      <c r="A284" t="str">
        <f>IF(B284="","",_xlfn.XLOOKUP(B284,'Raw'!D:D,'Raw'!B:B))</f>
        <v/>
      </c>
    </row>
    <row r="285" spans="1:1" x14ac:dyDescent="0.3">
      <c r="A285" t="str">
        <f>IF(B285="","",_xlfn.XLOOKUP(B285,'Raw'!D:D,'Raw'!B:B))</f>
        <v/>
      </c>
    </row>
    <row r="286" spans="1:1" x14ac:dyDescent="0.3">
      <c r="A286" t="str">
        <f>IF(B286="","",_xlfn.XLOOKUP(B286,'Raw'!D:D,'Raw'!B:B))</f>
        <v/>
      </c>
    </row>
    <row r="287" spans="1:1" x14ac:dyDescent="0.3">
      <c r="A287" t="str">
        <f>IF(B287="","",_xlfn.XLOOKUP(B287,'Raw'!D:D,'Raw'!B:B))</f>
        <v/>
      </c>
    </row>
    <row r="288" spans="1:1" x14ac:dyDescent="0.3">
      <c r="A288" t="str">
        <f>IF(B288="","",_xlfn.XLOOKUP(B288,'Raw'!D:D,'Raw'!B:B))</f>
        <v/>
      </c>
    </row>
    <row r="289" spans="1:1" x14ac:dyDescent="0.3">
      <c r="A289" t="str">
        <f>IF(B289="","",_xlfn.XLOOKUP(B289,'Raw'!D:D,'Raw'!B:B))</f>
        <v/>
      </c>
    </row>
    <row r="290" spans="1:1" x14ac:dyDescent="0.3">
      <c r="A290" t="str">
        <f>IF(B290="","",_xlfn.XLOOKUP(B290,'Raw'!D:D,'Raw'!B:B))</f>
        <v/>
      </c>
    </row>
    <row r="291" spans="1:1" x14ac:dyDescent="0.3">
      <c r="A291" t="str">
        <f>IF(B291="","",_xlfn.XLOOKUP(B291,'Raw'!D:D,'Raw'!B:B))</f>
        <v/>
      </c>
    </row>
    <row r="292" spans="1:1" x14ac:dyDescent="0.3">
      <c r="A292" t="str">
        <f>IF(B292="","",_xlfn.XLOOKUP(B292,'Raw'!D:D,'Raw'!B:B))</f>
        <v/>
      </c>
    </row>
    <row r="293" spans="1:1" x14ac:dyDescent="0.3">
      <c r="A293" t="str">
        <f>IF(B293="","",_xlfn.XLOOKUP(B293,'Raw'!D:D,'Raw'!B:B))</f>
        <v/>
      </c>
    </row>
    <row r="294" spans="1:1" x14ac:dyDescent="0.3">
      <c r="A294" t="str">
        <f>IF(B294="","",_xlfn.XLOOKUP(B294,'Raw'!D:D,'Raw'!B:B))</f>
        <v/>
      </c>
    </row>
    <row r="295" spans="1:1" x14ac:dyDescent="0.3">
      <c r="A295" t="str">
        <f>IF(B295="","",_xlfn.XLOOKUP(B295,'Raw'!D:D,'Raw'!B:B))</f>
        <v/>
      </c>
    </row>
    <row r="296" spans="1:1" x14ac:dyDescent="0.3">
      <c r="A296" t="str">
        <f>IF(B296="","",_xlfn.XLOOKUP(B296,'Raw'!D:D,'Raw'!B:B))</f>
        <v/>
      </c>
    </row>
    <row r="297" spans="1:1" x14ac:dyDescent="0.3">
      <c r="A297" t="str">
        <f>IF(B297="","",_xlfn.XLOOKUP(B297,'Raw'!D:D,'Raw'!B:B))</f>
        <v/>
      </c>
    </row>
    <row r="298" spans="1:1" x14ac:dyDescent="0.3">
      <c r="A298" t="str">
        <f>IF(B298="","",_xlfn.XLOOKUP(B298,'Raw'!D:D,'Raw'!B:B))</f>
        <v/>
      </c>
    </row>
    <row r="299" spans="1:1" x14ac:dyDescent="0.3">
      <c r="A299" t="str">
        <f>IF(B299="","",_xlfn.XLOOKUP(B299,'Raw'!D:D,'Raw'!B:B))</f>
        <v/>
      </c>
    </row>
    <row r="300" spans="1:1" x14ac:dyDescent="0.3">
      <c r="A300" t="str">
        <f>IF(B300="","",_xlfn.XLOOKUP(B300,'Raw'!D:D,'Raw'!B:B))</f>
        <v/>
      </c>
    </row>
    <row r="301" spans="1:1" x14ac:dyDescent="0.3">
      <c r="A301" t="str">
        <f>IF(B301="","",_xlfn.XLOOKUP(B301,'Raw'!D:D,'Raw'!B:B))</f>
        <v/>
      </c>
    </row>
    <row r="302" spans="1:1" x14ac:dyDescent="0.3">
      <c r="A302" t="str">
        <f>IF(B302="","",_xlfn.XLOOKUP(B302,'Raw'!D:D,'Raw'!B:B))</f>
        <v/>
      </c>
    </row>
    <row r="303" spans="1:1" x14ac:dyDescent="0.3">
      <c r="A303" t="str">
        <f>IF(B303="","",_xlfn.XLOOKUP(B303,'Raw'!D:D,'Raw'!B:B))</f>
        <v/>
      </c>
    </row>
    <row r="304" spans="1:1" x14ac:dyDescent="0.3">
      <c r="A304" t="str">
        <f>IF(B304="","",_xlfn.XLOOKUP(B304,'Raw'!D:D,'Raw'!B:B))</f>
        <v/>
      </c>
    </row>
    <row r="305" spans="1:1" x14ac:dyDescent="0.3">
      <c r="A305" t="str">
        <f>IF(B305="","",_xlfn.XLOOKUP(B305,'Raw'!D:D,'Raw'!B:B))</f>
        <v/>
      </c>
    </row>
    <row r="306" spans="1:1" x14ac:dyDescent="0.3">
      <c r="A306" t="str">
        <f>IF(B306="","",_xlfn.XLOOKUP(B306,'Raw'!D:D,'Raw'!B:B))</f>
        <v/>
      </c>
    </row>
    <row r="307" spans="1:1" x14ac:dyDescent="0.3">
      <c r="A307" t="str">
        <f>IF(B307="","",_xlfn.XLOOKUP(B307,'Raw'!D:D,'Raw'!B:B))</f>
        <v/>
      </c>
    </row>
    <row r="308" spans="1:1" x14ac:dyDescent="0.3">
      <c r="A308" t="str">
        <f>IF(B308="","",_xlfn.XLOOKUP(B308,'Raw'!D:D,'Raw'!B:B))</f>
        <v/>
      </c>
    </row>
    <row r="309" spans="1:1" x14ac:dyDescent="0.3">
      <c r="A309" t="str">
        <f>IF(B309="","",_xlfn.XLOOKUP(B309,'Raw'!D:D,'Raw'!B:B))</f>
        <v/>
      </c>
    </row>
    <row r="310" spans="1:1" x14ac:dyDescent="0.3">
      <c r="A310" t="str">
        <f>IF(B310="","",_xlfn.XLOOKUP(B310,'Raw'!D:D,'Raw'!B:B))</f>
        <v/>
      </c>
    </row>
    <row r="311" spans="1:1" x14ac:dyDescent="0.3">
      <c r="A311" t="str">
        <f>IF(B311="","",_xlfn.XLOOKUP(B311,'Raw'!D:D,'Raw'!B:B))</f>
        <v/>
      </c>
    </row>
    <row r="312" spans="1:1" x14ac:dyDescent="0.3">
      <c r="A312" t="str">
        <f>IF(B312="","",_xlfn.XLOOKUP(B312,'Raw'!D:D,'Raw'!B:B))</f>
        <v/>
      </c>
    </row>
    <row r="313" spans="1:1" x14ac:dyDescent="0.3">
      <c r="A313" t="str">
        <f>IF(B313="","",_xlfn.XLOOKUP(B313,'Raw'!D:D,'Raw'!B:B))</f>
        <v/>
      </c>
    </row>
    <row r="314" spans="1:1" x14ac:dyDescent="0.3">
      <c r="A314" t="str">
        <f>IF(B314="","",_xlfn.XLOOKUP(B314,'Raw'!D:D,'Raw'!B:B))</f>
        <v/>
      </c>
    </row>
    <row r="315" spans="1:1" x14ac:dyDescent="0.3">
      <c r="A315" t="str">
        <f>IF(B315="","",_xlfn.XLOOKUP(B315,'Raw'!D:D,'Raw'!B:B))</f>
        <v/>
      </c>
    </row>
    <row r="316" spans="1:1" x14ac:dyDescent="0.3">
      <c r="A316" t="str">
        <f>IF(B316="","",_xlfn.XLOOKUP(B316,'Raw'!D:D,'Raw'!B:B))</f>
        <v/>
      </c>
    </row>
    <row r="317" spans="1:1" x14ac:dyDescent="0.3">
      <c r="A317" t="str">
        <f>IF(B317="","",_xlfn.XLOOKUP(B317,'Raw'!D:D,'Raw'!B:B))</f>
        <v/>
      </c>
    </row>
    <row r="318" spans="1:1" x14ac:dyDescent="0.3">
      <c r="A318" t="str">
        <f>IF(B318="","",_xlfn.XLOOKUP(B318,'Raw'!D:D,'Raw'!B:B))</f>
        <v/>
      </c>
    </row>
    <row r="319" spans="1:1" x14ac:dyDescent="0.3">
      <c r="A319" t="str">
        <f>IF(B319="","",_xlfn.XLOOKUP(B319,'Raw'!D:D,'Raw'!B:B))</f>
        <v/>
      </c>
    </row>
    <row r="320" spans="1:1" x14ac:dyDescent="0.3">
      <c r="A320" t="str">
        <f>IF(B320="","",_xlfn.XLOOKUP(B320,'Raw'!D:D,'Raw'!B:B))</f>
        <v/>
      </c>
    </row>
    <row r="321" spans="1:1" x14ac:dyDescent="0.3">
      <c r="A321" t="str">
        <f>IF(B321="","",_xlfn.XLOOKUP(B321,'Raw'!D:D,'Raw'!B:B))</f>
        <v/>
      </c>
    </row>
    <row r="322" spans="1:1" x14ac:dyDescent="0.3">
      <c r="A322" t="str">
        <f>IF(B322="","",_xlfn.XLOOKUP(B322,'Raw'!D:D,'Raw'!B:B))</f>
        <v/>
      </c>
    </row>
    <row r="323" spans="1:1" x14ac:dyDescent="0.3">
      <c r="A323" t="str">
        <f>IF(B323="","",_xlfn.XLOOKUP(B323,'Raw'!D:D,'Raw'!B:B))</f>
        <v/>
      </c>
    </row>
    <row r="324" spans="1:1" x14ac:dyDescent="0.3">
      <c r="A324" t="str">
        <f>IF(B324="","",_xlfn.XLOOKUP(B324,'Raw'!D:D,'Raw'!B:B))</f>
        <v/>
      </c>
    </row>
    <row r="325" spans="1:1" x14ac:dyDescent="0.3">
      <c r="A325" t="str">
        <f>IF(B325="","",_xlfn.XLOOKUP(B325,'Raw'!D:D,'Raw'!B:B))</f>
        <v/>
      </c>
    </row>
    <row r="326" spans="1:1" x14ac:dyDescent="0.3">
      <c r="A326" t="str">
        <f>IF(B326="","",_xlfn.XLOOKUP(B326,'Raw'!D:D,'Raw'!B:B))</f>
        <v/>
      </c>
    </row>
    <row r="327" spans="1:1" x14ac:dyDescent="0.3">
      <c r="A327" t="str">
        <f>IF(B327="","",_xlfn.XLOOKUP(B327,'Raw'!D:D,'Raw'!B:B))</f>
        <v/>
      </c>
    </row>
    <row r="328" spans="1:1" x14ac:dyDescent="0.3">
      <c r="A328" t="str">
        <f>IF(B328="","",_xlfn.XLOOKUP(B328,'Raw'!D:D,'Raw'!B:B))</f>
        <v/>
      </c>
    </row>
    <row r="329" spans="1:1" x14ac:dyDescent="0.3">
      <c r="A329" t="str">
        <f>IF(B329="","",_xlfn.XLOOKUP(B329,'Raw'!D:D,'Raw'!B:B))</f>
        <v/>
      </c>
    </row>
    <row r="330" spans="1:1" x14ac:dyDescent="0.3">
      <c r="A330" t="str">
        <f>IF(B330="","",_xlfn.XLOOKUP(B330,'Raw'!D:D,'Raw'!B:B))</f>
        <v/>
      </c>
    </row>
    <row r="331" spans="1:1" x14ac:dyDescent="0.3">
      <c r="A331" t="str">
        <f>IF(B331="","",_xlfn.XLOOKUP(B331,'Raw'!D:D,'Raw'!B:B))</f>
        <v/>
      </c>
    </row>
    <row r="332" spans="1:1" x14ac:dyDescent="0.3">
      <c r="A332" t="str">
        <f>IF(B332="","",_xlfn.XLOOKUP(B332,'Raw'!D:D,'Raw'!B:B))</f>
        <v/>
      </c>
    </row>
    <row r="333" spans="1:1" x14ac:dyDescent="0.3">
      <c r="A333" t="str">
        <f>IF(B333="","",_xlfn.XLOOKUP(B333,'Raw'!D:D,'Raw'!B:B))</f>
        <v/>
      </c>
    </row>
    <row r="334" spans="1:1" x14ac:dyDescent="0.3">
      <c r="A334" t="str">
        <f>IF(B334="","",_xlfn.XLOOKUP(B334,'Raw'!D:D,'Raw'!B:B))</f>
        <v/>
      </c>
    </row>
    <row r="335" spans="1:1" x14ac:dyDescent="0.3">
      <c r="A335" t="str">
        <f>IF(B335="","",_xlfn.XLOOKUP(B335,'Raw'!D:D,'Raw'!B:B))</f>
        <v/>
      </c>
    </row>
    <row r="336" spans="1:1" x14ac:dyDescent="0.3">
      <c r="A336" t="str">
        <f>IF(B336="","",_xlfn.XLOOKUP(B336,'Raw'!D:D,'Raw'!B:B))</f>
        <v/>
      </c>
    </row>
    <row r="337" spans="1:1" x14ac:dyDescent="0.3">
      <c r="A337" t="str">
        <f>IF(B337="","",_xlfn.XLOOKUP(B337,'Raw'!D:D,'Raw'!B:B))</f>
        <v/>
      </c>
    </row>
    <row r="338" spans="1:1" x14ac:dyDescent="0.3">
      <c r="A338" t="str">
        <f>IF(B338="","",_xlfn.XLOOKUP(B338,'Raw'!D:D,'Raw'!B:B))</f>
        <v/>
      </c>
    </row>
    <row r="339" spans="1:1" x14ac:dyDescent="0.3">
      <c r="A339" t="str">
        <f>IF(B339="","",_xlfn.XLOOKUP(B339,'Raw'!D:D,'Raw'!B:B))</f>
        <v/>
      </c>
    </row>
    <row r="340" spans="1:1" x14ac:dyDescent="0.3">
      <c r="A340" t="str">
        <f>IF(B340="","",_xlfn.XLOOKUP(B340,'Raw'!D:D,'Raw'!B:B))</f>
        <v/>
      </c>
    </row>
    <row r="341" spans="1:1" x14ac:dyDescent="0.3">
      <c r="A341" t="str">
        <f>IF(B341="","",_xlfn.XLOOKUP(B341,'Raw'!D:D,'Raw'!B:B))</f>
        <v/>
      </c>
    </row>
    <row r="342" spans="1:1" x14ac:dyDescent="0.3">
      <c r="A342" t="str">
        <f>IF(B342="","",_xlfn.XLOOKUP(B342,'Raw'!D:D,'Raw'!B:B))</f>
        <v/>
      </c>
    </row>
    <row r="343" spans="1:1" x14ac:dyDescent="0.3">
      <c r="A343" t="str">
        <f>IF(B343="","",_xlfn.XLOOKUP(B343,'Raw'!D:D,'Raw'!B:B))</f>
        <v/>
      </c>
    </row>
    <row r="344" spans="1:1" x14ac:dyDescent="0.3">
      <c r="A344" t="str">
        <f>IF(B344="","",_xlfn.XLOOKUP(B344,'Raw'!D:D,'Raw'!B:B))</f>
        <v/>
      </c>
    </row>
    <row r="345" spans="1:1" x14ac:dyDescent="0.3">
      <c r="A345" t="str">
        <f>IF(B345="","",_xlfn.XLOOKUP(B345,'Raw'!D:D,'Raw'!B:B))</f>
        <v/>
      </c>
    </row>
    <row r="346" spans="1:1" x14ac:dyDescent="0.3">
      <c r="A346" t="str">
        <f>IF(B346="","",_xlfn.XLOOKUP(B346,'Raw'!D:D,'Raw'!B:B))</f>
        <v/>
      </c>
    </row>
    <row r="347" spans="1:1" x14ac:dyDescent="0.3">
      <c r="A347" t="str">
        <f>IF(B347="","",_xlfn.XLOOKUP(B347,'Raw'!D:D,'Raw'!B:B))</f>
        <v/>
      </c>
    </row>
    <row r="348" spans="1:1" x14ac:dyDescent="0.3">
      <c r="A348" t="str">
        <f>IF(B348="","",_xlfn.XLOOKUP(B348,'Raw'!D:D,'Raw'!B:B))</f>
        <v/>
      </c>
    </row>
    <row r="349" spans="1:1" x14ac:dyDescent="0.3">
      <c r="A349" t="str">
        <f>IF(B349="","",_xlfn.XLOOKUP(B349,'Raw'!D:D,'Raw'!B:B))</f>
        <v/>
      </c>
    </row>
    <row r="350" spans="1:1" x14ac:dyDescent="0.3">
      <c r="A350" t="str">
        <f>IF(B350="","",_xlfn.XLOOKUP(B350,'Raw'!D:D,'Raw'!B:B))</f>
        <v/>
      </c>
    </row>
    <row r="351" spans="1:1" x14ac:dyDescent="0.3">
      <c r="A351" t="str">
        <f>IF(B351="","",_xlfn.XLOOKUP(B351,'Raw'!D:D,'Raw'!B:B))</f>
        <v/>
      </c>
    </row>
    <row r="352" spans="1:1" x14ac:dyDescent="0.3">
      <c r="A352" t="str">
        <f>IF(B352="","",_xlfn.XLOOKUP(B352,'Raw'!D:D,'Raw'!B:B))</f>
        <v/>
      </c>
    </row>
    <row r="353" spans="1:1" x14ac:dyDescent="0.3">
      <c r="A353" t="str">
        <f>IF(B353="","",_xlfn.XLOOKUP(B353,'Raw'!D:D,'Raw'!B:B))</f>
        <v/>
      </c>
    </row>
    <row r="354" spans="1:1" x14ac:dyDescent="0.3">
      <c r="A354" t="str">
        <f>IF(B354="","",_xlfn.XLOOKUP(B354,'Raw'!D:D,'Raw'!B:B))</f>
        <v/>
      </c>
    </row>
    <row r="355" spans="1:1" x14ac:dyDescent="0.3">
      <c r="A355" t="str">
        <f>IF(B355="","",_xlfn.XLOOKUP(B355,'Raw'!D:D,'Raw'!B:B))</f>
        <v/>
      </c>
    </row>
    <row r="356" spans="1:1" x14ac:dyDescent="0.3">
      <c r="A356" t="str">
        <f>IF(B356="","",_xlfn.XLOOKUP(B356,'Raw'!D:D,'Raw'!B:B))</f>
        <v/>
      </c>
    </row>
    <row r="357" spans="1:1" x14ac:dyDescent="0.3">
      <c r="A357" t="str">
        <f>IF(B357="","",_xlfn.XLOOKUP(B357,'Raw'!D:D,'Raw'!B:B))</f>
        <v/>
      </c>
    </row>
    <row r="358" spans="1:1" x14ac:dyDescent="0.3">
      <c r="A358" t="str">
        <f>IF(B358="","",_xlfn.XLOOKUP(B358,'Raw'!D:D,'Raw'!B:B))</f>
        <v/>
      </c>
    </row>
    <row r="359" spans="1:1" x14ac:dyDescent="0.3">
      <c r="A359" t="str">
        <f>IF(B359="","",_xlfn.XLOOKUP(B359,'Raw'!D:D,'Raw'!B:B))</f>
        <v/>
      </c>
    </row>
    <row r="360" spans="1:1" x14ac:dyDescent="0.3">
      <c r="A360" t="str">
        <f>IF(B360="","",_xlfn.XLOOKUP(B360,'Raw'!D:D,'Raw'!B:B))</f>
        <v/>
      </c>
    </row>
    <row r="361" spans="1:1" x14ac:dyDescent="0.3">
      <c r="A361" t="str">
        <f>IF(B361="","",_xlfn.XLOOKUP(B361,'Raw'!D:D,'Raw'!B:B))</f>
        <v/>
      </c>
    </row>
    <row r="362" spans="1:1" x14ac:dyDescent="0.3">
      <c r="A362" t="str">
        <f>IF(B362="","",_xlfn.XLOOKUP(B362,'Raw'!D:D,'Raw'!B:B))</f>
        <v/>
      </c>
    </row>
    <row r="363" spans="1:1" x14ac:dyDescent="0.3">
      <c r="A363" t="str">
        <f>IF(B363="","",_xlfn.XLOOKUP(B363,'Raw'!D:D,'Raw'!B:B))</f>
        <v/>
      </c>
    </row>
    <row r="364" spans="1:1" x14ac:dyDescent="0.3">
      <c r="A364" t="str">
        <f>IF(B364="","",_xlfn.XLOOKUP(B364,'Raw'!D:D,'Raw'!B:B))</f>
        <v/>
      </c>
    </row>
    <row r="365" spans="1:1" x14ac:dyDescent="0.3">
      <c r="A365" t="str">
        <f>IF(B365="","",_xlfn.XLOOKUP(B365,'Raw'!D:D,'Raw'!B:B))</f>
        <v/>
      </c>
    </row>
    <row r="366" spans="1:1" x14ac:dyDescent="0.3">
      <c r="A366" t="str">
        <f>IF(B366="","",_xlfn.XLOOKUP(B366,'Raw'!D:D,'Raw'!B:B))</f>
        <v/>
      </c>
    </row>
    <row r="367" spans="1:1" x14ac:dyDescent="0.3">
      <c r="A367" t="str">
        <f>IF(B367="","",_xlfn.XLOOKUP(B367,'Raw'!D:D,'Raw'!B:B))</f>
        <v/>
      </c>
    </row>
    <row r="368" spans="1:1" x14ac:dyDescent="0.3">
      <c r="A368" t="str">
        <f>IF(B368="","",_xlfn.XLOOKUP(B368,'Raw'!D:D,'Raw'!B:B))</f>
        <v/>
      </c>
    </row>
    <row r="369" spans="1:1" x14ac:dyDescent="0.3">
      <c r="A369" t="str">
        <f>IF(B369="","",_xlfn.XLOOKUP(B369,'Raw'!D:D,'Raw'!B:B))</f>
        <v/>
      </c>
    </row>
    <row r="370" spans="1:1" x14ac:dyDescent="0.3">
      <c r="A370" t="str">
        <f>IF(B370="","",_xlfn.XLOOKUP(B370,'Raw'!D:D,'Raw'!B:B))</f>
        <v/>
      </c>
    </row>
    <row r="371" spans="1:1" x14ac:dyDescent="0.3">
      <c r="A371" t="str">
        <f>IF(B371="","",_xlfn.XLOOKUP(B371,'Raw'!D:D,'Raw'!B:B))</f>
        <v/>
      </c>
    </row>
    <row r="372" spans="1:1" x14ac:dyDescent="0.3">
      <c r="A372" t="str">
        <f>IF(B372="","",_xlfn.XLOOKUP(B372,'Raw'!D:D,'Raw'!B:B))</f>
        <v/>
      </c>
    </row>
    <row r="373" spans="1:1" x14ac:dyDescent="0.3">
      <c r="A373" t="str">
        <f>IF(B373="","",_xlfn.XLOOKUP(B373,'Raw'!D:D,'Raw'!B:B))</f>
        <v/>
      </c>
    </row>
    <row r="374" spans="1:1" x14ac:dyDescent="0.3">
      <c r="A374" t="str">
        <f>IF(B374="","",_xlfn.XLOOKUP(B374,'Raw'!D:D,'Raw'!B:B))</f>
        <v/>
      </c>
    </row>
    <row r="375" spans="1:1" x14ac:dyDescent="0.3">
      <c r="A375" t="str">
        <f>IF(B375="","",_xlfn.XLOOKUP(B375,'Raw'!D:D,'Raw'!B:B))</f>
        <v/>
      </c>
    </row>
    <row r="376" spans="1:1" x14ac:dyDescent="0.3">
      <c r="A376" t="str">
        <f>IF(B376="","",_xlfn.XLOOKUP(B376,'Raw'!D:D,'Raw'!B:B))</f>
        <v/>
      </c>
    </row>
    <row r="377" spans="1:1" x14ac:dyDescent="0.3">
      <c r="A377" t="str">
        <f>IF(B377="","",_xlfn.XLOOKUP(B377,'Raw'!D:D,'Raw'!B:B))</f>
        <v/>
      </c>
    </row>
    <row r="378" spans="1:1" x14ac:dyDescent="0.3">
      <c r="A378" t="str">
        <f>IF(B378="","",_xlfn.XLOOKUP(B378,'Raw'!D:D,'Raw'!B:B))</f>
        <v/>
      </c>
    </row>
    <row r="379" spans="1:1" x14ac:dyDescent="0.3">
      <c r="A379" t="str">
        <f>IF(B379="","",_xlfn.XLOOKUP(B379,'Raw'!D:D,'Raw'!B:B))</f>
        <v/>
      </c>
    </row>
    <row r="380" spans="1:1" x14ac:dyDescent="0.3">
      <c r="A380" t="str">
        <f>IF(B380="","",_xlfn.XLOOKUP(B380,'Raw'!D:D,'Raw'!B:B))</f>
        <v/>
      </c>
    </row>
    <row r="381" spans="1:1" x14ac:dyDescent="0.3">
      <c r="A381" t="str">
        <f>IF(B381="","",_xlfn.XLOOKUP(B381,'Raw'!D:D,'Raw'!B:B))</f>
        <v/>
      </c>
    </row>
    <row r="382" spans="1:1" x14ac:dyDescent="0.3">
      <c r="A382" t="str">
        <f>IF(B382="","",_xlfn.XLOOKUP(B382,'Raw'!D:D,'Raw'!B:B))</f>
        <v/>
      </c>
    </row>
    <row r="383" spans="1:1" x14ac:dyDescent="0.3">
      <c r="A383" t="str">
        <f>IF(B383="","",_xlfn.XLOOKUP(B383,'Raw'!D:D,'Raw'!B:B))</f>
        <v/>
      </c>
    </row>
    <row r="384" spans="1:1" x14ac:dyDescent="0.3">
      <c r="A384" t="str">
        <f>IF(B384="","",_xlfn.XLOOKUP(B384,'Raw'!D:D,'Raw'!B:B))</f>
        <v/>
      </c>
    </row>
    <row r="385" spans="1:1" x14ac:dyDescent="0.3">
      <c r="A385" t="str">
        <f>IF(B385="","",_xlfn.XLOOKUP(B385,'Raw'!D:D,'Raw'!B:B))</f>
        <v/>
      </c>
    </row>
    <row r="386" spans="1:1" x14ac:dyDescent="0.3">
      <c r="A386" t="str">
        <f>IF(B386="","",_xlfn.XLOOKUP(B386,'Raw'!D:D,'Raw'!B:B))</f>
        <v/>
      </c>
    </row>
    <row r="387" spans="1:1" x14ac:dyDescent="0.3">
      <c r="A387" t="str">
        <f>IF(B387="","",_xlfn.XLOOKUP(B387,'Raw'!D:D,'Raw'!B:B))</f>
        <v/>
      </c>
    </row>
    <row r="388" spans="1:1" x14ac:dyDescent="0.3">
      <c r="A388" t="str">
        <f>IF(B388="","",_xlfn.XLOOKUP(B388,'Raw'!D:D,'Raw'!B:B))</f>
        <v/>
      </c>
    </row>
    <row r="389" spans="1:1" x14ac:dyDescent="0.3">
      <c r="A389" t="str">
        <f>IF(B389="","",_xlfn.XLOOKUP(B389,'Raw'!D:D,'Raw'!B:B))</f>
        <v/>
      </c>
    </row>
    <row r="390" spans="1:1" x14ac:dyDescent="0.3">
      <c r="A390" t="str">
        <f>IF(B390="","",_xlfn.XLOOKUP(B390,'Raw'!D:D,'Raw'!B:B))</f>
        <v/>
      </c>
    </row>
    <row r="391" spans="1:1" x14ac:dyDescent="0.3">
      <c r="A391" t="str">
        <f>IF(B391="","",_xlfn.XLOOKUP(B391,'Raw'!D:D,'Raw'!B:B))</f>
        <v/>
      </c>
    </row>
    <row r="392" spans="1:1" x14ac:dyDescent="0.3">
      <c r="A392" t="str">
        <f>IF(B392="","",_xlfn.XLOOKUP(B392,'Raw'!D:D,'Raw'!B:B))</f>
        <v/>
      </c>
    </row>
    <row r="393" spans="1:1" x14ac:dyDescent="0.3">
      <c r="A393" t="str">
        <f>IF(B393="","",_xlfn.XLOOKUP(B393,'Raw'!D:D,'Raw'!B:B))</f>
        <v/>
      </c>
    </row>
    <row r="394" spans="1:1" x14ac:dyDescent="0.3">
      <c r="A394" t="str">
        <f>IF(B394="","",_xlfn.XLOOKUP(B394,'Raw'!D:D,'Raw'!B:B))</f>
        <v/>
      </c>
    </row>
    <row r="395" spans="1:1" x14ac:dyDescent="0.3">
      <c r="A395" t="str">
        <f>IF(B395="","",_xlfn.XLOOKUP(B395,'Raw'!D:D,'Raw'!B:B))</f>
        <v/>
      </c>
    </row>
    <row r="396" spans="1:1" x14ac:dyDescent="0.3">
      <c r="A396" t="str">
        <f>IF(B396="","",_xlfn.XLOOKUP(B396,'Raw'!D:D,'Raw'!B:B))</f>
        <v/>
      </c>
    </row>
    <row r="397" spans="1:1" x14ac:dyDescent="0.3">
      <c r="A397" t="str">
        <f>IF(B397="","",_xlfn.XLOOKUP(B397,'Raw'!D:D,'Raw'!B:B))</f>
        <v/>
      </c>
    </row>
    <row r="398" spans="1:1" x14ac:dyDescent="0.3">
      <c r="A398" t="str">
        <f>IF(B398="","",_xlfn.XLOOKUP(B398,'Raw'!D:D,'Raw'!B:B))</f>
        <v/>
      </c>
    </row>
    <row r="399" spans="1:1" x14ac:dyDescent="0.3">
      <c r="A399" t="str">
        <f>IF(B399="","",_xlfn.XLOOKUP(B399,'Raw'!D:D,'Raw'!B:B))</f>
        <v/>
      </c>
    </row>
    <row r="400" spans="1:1" x14ac:dyDescent="0.3">
      <c r="A400" t="str">
        <f>IF(B400="","",_xlfn.XLOOKUP(B400,'Raw'!D:D,'Raw'!B:B))</f>
        <v/>
      </c>
    </row>
    <row r="401" spans="1:1" x14ac:dyDescent="0.3">
      <c r="A401" t="str">
        <f>IF(B401="","",_xlfn.XLOOKUP(B401,'Raw'!D:D,'Raw'!B:B))</f>
        <v/>
      </c>
    </row>
    <row r="402" spans="1:1" x14ac:dyDescent="0.3">
      <c r="A402" t="str">
        <f>IF(B402="","",_xlfn.XLOOKUP(B402,'Raw'!D:D,'Raw'!B:B))</f>
        <v/>
      </c>
    </row>
    <row r="403" spans="1:1" x14ac:dyDescent="0.3">
      <c r="A403" t="str">
        <f>IF(B403="","",_xlfn.XLOOKUP(B403,'Raw'!D:D,'Raw'!B:B))</f>
        <v/>
      </c>
    </row>
    <row r="404" spans="1:1" x14ac:dyDescent="0.3">
      <c r="A404" t="str">
        <f>IF(B404="","",_xlfn.XLOOKUP(B404,'Raw'!D:D,'Raw'!B:B))</f>
        <v/>
      </c>
    </row>
    <row r="405" spans="1:1" x14ac:dyDescent="0.3">
      <c r="A405" t="str">
        <f>IF(B405="","",_xlfn.XLOOKUP(B405,'Raw'!D:D,'Raw'!B:B))</f>
        <v/>
      </c>
    </row>
    <row r="406" spans="1:1" x14ac:dyDescent="0.3">
      <c r="A406" t="str">
        <f>IF(B406="","",_xlfn.XLOOKUP(B406,'Raw'!D:D,'Raw'!B:B))</f>
        <v/>
      </c>
    </row>
    <row r="407" spans="1:1" x14ac:dyDescent="0.3">
      <c r="A407" t="str">
        <f>IF(B407="","",_xlfn.XLOOKUP(B407,'Raw'!D:D,'Raw'!B:B))</f>
        <v/>
      </c>
    </row>
    <row r="408" spans="1:1" x14ac:dyDescent="0.3">
      <c r="A408" t="str">
        <f>IF(B408="","",_xlfn.XLOOKUP(B408,'Raw'!D:D,'Raw'!B:B))</f>
        <v/>
      </c>
    </row>
    <row r="409" spans="1:1" x14ac:dyDescent="0.3">
      <c r="A409" t="str">
        <f>IF(B409="","",_xlfn.XLOOKUP(B409,'Raw'!D:D,'Raw'!B:B))</f>
        <v/>
      </c>
    </row>
    <row r="410" spans="1:1" x14ac:dyDescent="0.3">
      <c r="A410" t="str">
        <f>IF(B410="","",_xlfn.XLOOKUP(B410,'Raw'!D:D,'Raw'!B:B))</f>
        <v/>
      </c>
    </row>
    <row r="411" spans="1:1" x14ac:dyDescent="0.3">
      <c r="A411" t="str">
        <f>IF(B411="","",_xlfn.XLOOKUP(B411,'Raw'!D:D,'Raw'!B:B))</f>
        <v/>
      </c>
    </row>
    <row r="412" spans="1:1" x14ac:dyDescent="0.3">
      <c r="A412" t="str">
        <f>IF(B412="","",_xlfn.XLOOKUP(B412,'Raw'!D:D,'Raw'!B:B))</f>
        <v/>
      </c>
    </row>
    <row r="413" spans="1:1" x14ac:dyDescent="0.3">
      <c r="A413" t="str">
        <f>IF(B413="","",_xlfn.XLOOKUP(B413,'Raw'!D:D,'Raw'!B:B))</f>
        <v/>
      </c>
    </row>
    <row r="414" spans="1:1" x14ac:dyDescent="0.3">
      <c r="A414" t="str">
        <f>IF(B414="","",_xlfn.XLOOKUP(B414,'Raw'!D:D,'Raw'!B:B))</f>
        <v/>
      </c>
    </row>
    <row r="415" spans="1:1" x14ac:dyDescent="0.3">
      <c r="A415" t="str">
        <f>IF(B415="","",_xlfn.XLOOKUP(B415,'Raw'!D:D,'Raw'!B:B))</f>
        <v/>
      </c>
    </row>
    <row r="416" spans="1:1" x14ac:dyDescent="0.3">
      <c r="A416" t="str">
        <f>IF(B416="","",_xlfn.XLOOKUP(B416,'Raw'!D:D,'Raw'!B:B))</f>
        <v/>
      </c>
    </row>
    <row r="417" spans="1:1" x14ac:dyDescent="0.3">
      <c r="A417" t="str">
        <f>IF(B417="","",_xlfn.XLOOKUP(B417,'Raw'!D:D,'Raw'!B:B))</f>
        <v/>
      </c>
    </row>
    <row r="418" spans="1:1" x14ac:dyDescent="0.3">
      <c r="A418" t="str">
        <f>IF(B418="","",_xlfn.XLOOKUP(B418,'Raw'!D:D,'Raw'!B:B))</f>
        <v/>
      </c>
    </row>
    <row r="419" spans="1:1" x14ac:dyDescent="0.3">
      <c r="A419" t="str">
        <f>IF(B419="","",_xlfn.XLOOKUP(B419,'Raw'!D:D,'Raw'!B:B))</f>
        <v/>
      </c>
    </row>
    <row r="420" spans="1:1" x14ac:dyDescent="0.3">
      <c r="A420" t="str">
        <f>IF(B420="","",_xlfn.XLOOKUP(B420,'Raw'!D:D,'Raw'!B:B))</f>
        <v/>
      </c>
    </row>
    <row r="421" spans="1:1" x14ac:dyDescent="0.3">
      <c r="A421" t="str">
        <f>IF(B421="","",_xlfn.XLOOKUP(B421,'Raw'!D:D,'Raw'!B:B))</f>
        <v/>
      </c>
    </row>
    <row r="422" spans="1:1" x14ac:dyDescent="0.3">
      <c r="A422" t="str">
        <f>IF(B422="","",_xlfn.XLOOKUP(B422,'Raw'!D:D,'Raw'!B:B))</f>
        <v/>
      </c>
    </row>
    <row r="423" spans="1:1" x14ac:dyDescent="0.3">
      <c r="A423" t="str">
        <f>IF(B423="","",_xlfn.XLOOKUP(B423,'Raw'!D:D,'Raw'!B:B))</f>
        <v/>
      </c>
    </row>
    <row r="424" spans="1:1" x14ac:dyDescent="0.3">
      <c r="A424" t="str">
        <f>IF(B424="","",_xlfn.XLOOKUP(B424,'Raw'!D:D,'Raw'!B:B))</f>
        <v/>
      </c>
    </row>
    <row r="425" spans="1:1" x14ac:dyDescent="0.3">
      <c r="A425" t="str">
        <f>IF(B425="","",_xlfn.XLOOKUP(B425,'Raw'!D:D,'Raw'!B:B))</f>
        <v/>
      </c>
    </row>
    <row r="426" spans="1:1" x14ac:dyDescent="0.3">
      <c r="A426" t="str">
        <f>IF(B426="","",_xlfn.XLOOKUP(B426,'Raw'!D:D,'Raw'!B:B))</f>
        <v/>
      </c>
    </row>
    <row r="427" spans="1:1" x14ac:dyDescent="0.3">
      <c r="A427" t="str">
        <f>IF(B427="","",_xlfn.XLOOKUP(B427,'Raw'!D:D,'Raw'!B:B))</f>
        <v/>
      </c>
    </row>
    <row r="428" spans="1:1" x14ac:dyDescent="0.3">
      <c r="A428" t="str">
        <f>IF(B428="","",_xlfn.XLOOKUP(B428,'Raw'!D:D,'Raw'!B:B))</f>
        <v/>
      </c>
    </row>
    <row r="429" spans="1:1" x14ac:dyDescent="0.3">
      <c r="A429" t="str">
        <f>IF(B429="","",_xlfn.XLOOKUP(B429,'Raw'!D:D,'Raw'!B:B))</f>
        <v/>
      </c>
    </row>
    <row r="430" spans="1:1" x14ac:dyDescent="0.3">
      <c r="A430" t="str">
        <f>IF(B430="","",_xlfn.XLOOKUP(B430,'Raw'!D:D,'Raw'!B:B))</f>
        <v/>
      </c>
    </row>
    <row r="431" spans="1:1" x14ac:dyDescent="0.3">
      <c r="A431" t="str">
        <f>IF(B431="","",_xlfn.XLOOKUP(B431,'Raw'!D:D,'Raw'!B:B))</f>
        <v/>
      </c>
    </row>
    <row r="432" spans="1:1" x14ac:dyDescent="0.3">
      <c r="A432" t="str">
        <f>IF(B432="","",_xlfn.XLOOKUP(B432,'Raw'!D:D,'Raw'!B:B))</f>
        <v/>
      </c>
    </row>
    <row r="433" spans="1:1" x14ac:dyDescent="0.3">
      <c r="A433" t="str">
        <f>IF(B433="","",_xlfn.XLOOKUP(B433,'Raw'!D:D,'Raw'!B:B))</f>
        <v/>
      </c>
    </row>
    <row r="434" spans="1:1" x14ac:dyDescent="0.3">
      <c r="A434" t="str">
        <f>IF(B434="","",_xlfn.XLOOKUP(B434,'Raw'!D:D,'Raw'!B:B))</f>
        <v/>
      </c>
    </row>
    <row r="435" spans="1:1" x14ac:dyDescent="0.3">
      <c r="A435" t="str">
        <f>IF(B435="","",_xlfn.XLOOKUP(B435,'Raw'!D:D,'Raw'!B:B))</f>
        <v/>
      </c>
    </row>
    <row r="436" spans="1:1" x14ac:dyDescent="0.3">
      <c r="A436" t="str">
        <f>IF(B436="","",_xlfn.XLOOKUP(B436,'Raw'!D:D,'Raw'!B:B))</f>
        <v/>
      </c>
    </row>
    <row r="437" spans="1:1" x14ac:dyDescent="0.3">
      <c r="A437" t="str">
        <f>IF(B437="","",_xlfn.XLOOKUP(B437,'Raw'!D:D,'Raw'!B:B))</f>
        <v/>
      </c>
    </row>
    <row r="438" spans="1:1" x14ac:dyDescent="0.3">
      <c r="A438" t="str">
        <f>IF(B438="","",_xlfn.XLOOKUP(B438,'Raw'!D:D,'Raw'!B:B))</f>
        <v/>
      </c>
    </row>
    <row r="439" spans="1:1" x14ac:dyDescent="0.3">
      <c r="A439" t="str">
        <f>IF(B439="","",_xlfn.XLOOKUP(B439,'Raw'!D:D,'Raw'!B:B))</f>
        <v/>
      </c>
    </row>
    <row r="440" spans="1:1" x14ac:dyDescent="0.3">
      <c r="A440" t="str">
        <f>IF(B440="","",_xlfn.XLOOKUP(B440,'Raw'!D:D,'Raw'!B:B))</f>
        <v/>
      </c>
    </row>
    <row r="441" spans="1:1" x14ac:dyDescent="0.3">
      <c r="A441" t="str">
        <f>IF(B441="","",_xlfn.XLOOKUP(B441,'Raw'!D:D,'Raw'!B:B))</f>
        <v/>
      </c>
    </row>
    <row r="442" spans="1:1" x14ac:dyDescent="0.3">
      <c r="A442" t="str">
        <f>IF(B442="","",_xlfn.XLOOKUP(B442,'Raw'!D:D,'Raw'!B:B))</f>
        <v/>
      </c>
    </row>
    <row r="443" spans="1:1" x14ac:dyDescent="0.3">
      <c r="A443" t="str">
        <f>IF(B443="","",_xlfn.XLOOKUP(B443,'Raw'!D:D,'Raw'!B:B))</f>
        <v/>
      </c>
    </row>
    <row r="444" spans="1:1" x14ac:dyDescent="0.3">
      <c r="A444" t="str">
        <f>IF(B444="","",_xlfn.XLOOKUP(B444,'Raw'!D:D,'Raw'!B:B))</f>
        <v/>
      </c>
    </row>
    <row r="445" spans="1:1" x14ac:dyDescent="0.3">
      <c r="A445" t="str">
        <f>IF(B445="","",_xlfn.XLOOKUP(B445,'Raw'!D:D,'Raw'!B:B))</f>
        <v/>
      </c>
    </row>
    <row r="446" spans="1:1" x14ac:dyDescent="0.3">
      <c r="A446" t="str">
        <f>IF(B446="","",_xlfn.XLOOKUP(B446,'Raw'!D:D,'Raw'!B:B))</f>
        <v/>
      </c>
    </row>
    <row r="447" spans="1:1" x14ac:dyDescent="0.3">
      <c r="A447" t="str">
        <f>IF(B447="","",_xlfn.XLOOKUP(B447,'Raw'!D:D,'Raw'!B:B))</f>
        <v/>
      </c>
    </row>
    <row r="448" spans="1:1" x14ac:dyDescent="0.3">
      <c r="A448" t="str">
        <f>IF(B448="","",_xlfn.XLOOKUP(B448,'Raw'!D:D,'Raw'!B:B))</f>
        <v/>
      </c>
    </row>
    <row r="449" spans="1:1" x14ac:dyDescent="0.3">
      <c r="A449" t="str">
        <f>IF(B449="","",_xlfn.XLOOKUP(B449,'Raw'!D:D,'Raw'!B:B))</f>
        <v/>
      </c>
    </row>
    <row r="450" spans="1:1" x14ac:dyDescent="0.3">
      <c r="A450" t="str">
        <f>IF(B450="","",_xlfn.XLOOKUP(B450,'Raw'!D:D,'Raw'!B:B))</f>
        <v/>
      </c>
    </row>
    <row r="451" spans="1:1" x14ac:dyDescent="0.3">
      <c r="A451" t="str">
        <f>IF(B451="","",_xlfn.XLOOKUP(B451,'Raw'!D:D,'Raw'!B:B))</f>
        <v/>
      </c>
    </row>
    <row r="452" spans="1:1" x14ac:dyDescent="0.3">
      <c r="A452" t="str">
        <f>IF(B452="","",_xlfn.XLOOKUP(B452,'Raw'!D:D,'Raw'!B:B))</f>
        <v/>
      </c>
    </row>
    <row r="453" spans="1:1" x14ac:dyDescent="0.3">
      <c r="A453" t="str">
        <f>IF(B453="","",_xlfn.XLOOKUP(B453,'Raw'!D:D,'Raw'!B:B))</f>
        <v/>
      </c>
    </row>
    <row r="454" spans="1:1" x14ac:dyDescent="0.3">
      <c r="A454" t="str">
        <f>IF(B454="","",_xlfn.XLOOKUP(B454,'Raw'!D:D,'Raw'!B:B))</f>
        <v/>
      </c>
    </row>
    <row r="455" spans="1:1" x14ac:dyDescent="0.3">
      <c r="A455" t="str">
        <f>IF(B455="","",_xlfn.XLOOKUP(B455,'Raw'!D:D,'Raw'!B:B))</f>
        <v/>
      </c>
    </row>
    <row r="456" spans="1:1" x14ac:dyDescent="0.3">
      <c r="A456" t="str">
        <f>IF(B456="","",_xlfn.XLOOKUP(B456,'Raw'!D:D,'Raw'!B:B))</f>
        <v/>
      </c>
    </row>
    <row r="457" spans="1:1" x14ac:dyDescent="0.3">
      <c r="A457" t="str">
        <f>IF(B457="","",_xlfn.XLOOKUP(B457,'Raw'!D:D,'Raw'!B:B))</f>
        <v/>
      </c>
    </row>
    <row r="458" spans="1:1" x14ac:dyDescent="0.3">
      <c r="A458" t="str">
        <f>IF(B458="","",_xlfn.XLOOKUP(B458,'Raw'!D:D,'Raw'!B:B))</f>
        <v/>
      </c>
    </row>
    <row r="459" spans="1:1" x14ac:dyDescent="0.3">
      <c r="A459" t="str">
        <f>IF(B459="","",_xlfn.XLOOKUP(B459,'Raw'!D:D,'Raw'!B:B))</f>
        <v/>
      </c>
    </row>
    <row r="460" spans="1:1" x14ac:dyDescent="0.3">
      <c r="A460" t="str">
        <f>IF(B460="","",_xlfn.XLOOKUP(B460,'Raw'!D:D,'Raw'!B:B))</f>
        <v/>
      </c>
    </row>
    <row r="461" spans="1:1" x14ac:dyDescent="0.3">
      <c r="A461" t="str">
        <f>IF(B461="","",_xlfn.XLOOKUP(B461,'Raw'!D:D,'Raw'!B:B))</f>
        <v/>
      </c>
    </row>
    <row r="462" spans="1:1" x14ac:dyDescent="0.3">
      <c r="A462" t="str">
        <f>IF(B462="","",_xlfn.XLOOKUP(B462,'Raw'!D:D,'Raw'!B:B))</f>
        <v/>
      </c>
    </row>
    <row r="463" spans="1:1" x14ac:dyDescent="0.3">
      <c r="A463" t="str">
        <f>IF(B463="","",_xlfn.XLOOKUP(B463,'Raw'!D:D,'Raw'!B:B))</f>
        <v/>
      </c>
    </row>
    <row r="464" spans="1:1" x14ac:dyDescent="0.3">
      <c r="A464" t="str">
        <f>IF(B464="","",_xlfn.XLOOKUP(B464,'Raw'!D:D,'Raw'!B:B))</f>
        <v/>
      </c>
    </row>
    <row r="465" spans="1:1" x14ac:dyDescent="0.3">
      <c r="A465" t="str">
        <f>IF(B465="","",_xlfn.XLOOKUP(B465,'Raw'!D:D,'Raw'!B:B))</f>
        <v/>
      </c>
    </row>
    <row r="466" spans="1:1" x14ac:dyDescent="0.3">
      <c r="A466" t="str">
        <f>IF(B466="","",_xlfn.XLOOKUP(B466,'Raw'!D:D,'Raw'!B:B))</f>
        <v/>
      </c>
    </row>
    <row r="467" spans="1:1" x14ac:dyDescent="0.3">
      <c r="A467" t="str">
        <f>IF(B467="","",_xlfn.XLOOKUP(B467,'Raw'!D:D,'Raw'!B:B))</f>
        <v/>
      </c>
    </row>
    <row r="468" spans="1:1" x14ac:dyDescent="0.3">
      <c r="A468" t="str">
        <f>IF(B468="","",_xlfn.XLOOKUP(B468,'Raw'!D:D,'Raw'!B:B))</f>
        <v/>
      </c>
    </row>
    <row r="469" spans="1:1" x14ac:dyDescent="0.3">
      <c r="A469" t="str">
        <f>IF(B469="","",_xlfn.XLOOKUP(B469,'Raw'!D:D,'Raw'!B:B))</f>
        <v/>
      </c>
    </row>
    <row r="470" spans="1:1" x14ac:dyDescent="0.3">
      <c r="A470" t="str">
        <f>IF(B470="","",_xlfn.XLOOKUP(B470,'Raw'!D:D,'Raw'!B:B))</f>
        <v/>
      </c>
    </row>
    <row r="471" spans="1:1" x14ac:dyDescent="0.3">
      <c r="A471" t="str">
        <f>IF(B471="","",_xlfn.XLOOKUP(B471,'Raw'!D:D,'Raw'!B:B))</f>
        <v/>
      </c>
    </row>
    <row r="472" spans="1:1" x14ac:dyDescent="0.3">
      <c r="A472" t="str">
        <f>IF(B472="","",_xlfn.XLOOKUP(B472,'Raw'!D:D,'Raw'!B:B))</f>
        <v/>
      </c>
    </row>
    <row r="473" spans="1:1" x14ac:dyDescent="0.3">
      <c r="A473" t="str">
        <f>IF(B473="","",_xlfn.XLOOKUP(B473,'Raw'!D:D,'Raw'!B:B))</f>
        <v/>
      </c>
    </row>
    <row r="474" spans="1:1" x14ac:dyDescent="0.3">
      <c r="A474" t="str">
        <f>IF(B474="","",_xlfn.XLOOKUP(B474,'Raw'!D:D,'Raw'!B:B))</f>
        <v/>
      </c>
    </row>
    <row r="475" spans="1:1" x14ac:dyDescent="0.3">
      <c r="A475" t="str">
        <f>IF(B475="","",_xlfn.XLOOKUP(B475,'Raw'!D:D,'Raw'!B:B))</f>
        <v/>
      </c>
    </row>
    <row r="476" spans="1:1" x14ac:dyDescent="0.3">
      <c r="A476" t="str">
        <f>IF(B476="","",_xlfn.XLOOKUP(B476,'Raw'!D:D,'Raw'!B:B))</f>
        <v/>
      </c>
    </row>
    <row r="477" spans="1:1" x14ac:dyDescent="0.3">
      <c r="A477" t="str">
        <f>IF(B477="","",_xlfn.XLOOKUP(B477,'Raw'!D:D,'Raw'!B:B))</f>
        <v/>
      </c>
    </row>
    <row r="478" spans="1:1" x14ac:dyDescent="0.3">
      <c r="A478" t="str">
        <f>IF(B478="","",_xlfn.XLOOKUP(B478,'Raw'!D:D,'Raw'!B:B))</f>
        <v/>
      </c>
    </row>
    <row r="479" spans="1:1" x14ac:dyDescent="0.3">
      <c r="A479" t="str">
        <f>IF(B479="","",_xlfn.XLOOKUP(B479,'Raw'!D:D,'Raw'!B:B))</f>
        <v/>
      </c>
    </row>
    <row r="480" spans="1:1" x14ac:dyDescent="0.3">
      <c r="A480" t="str">
        <f>IF(B480="","",_xlfn.XLOOKUP(B480,'Raw'!D:D,'Raw'!B:B))</f>
        <v/>
      </c>
    </row>
    <row r="481" spans="1:1" x14ac:dyDescent="0.3">
      <c r="A481" t="str">
        <f>IF(B481="","",_xlfn.XLOOKUP(B481,'Raw'!D:D,'Raw'!B:B))</f>
        <v/>
      </c>
    </row>
    <row r="482" spans="1:1" x14ac:dyDescent="0.3">
      <c r="A482" t="str">
        <f>IF(B482="","",_xlfn.XLOOKUP(B482,'Raw'!D:D,'Raw'!B:B))</f>
        <v/>
      </c>
    </row>
    <row r="483" spans="1:1" x14ac:dyDescent="0.3">
      <c r="A483" t="str">
        <f>IF(B483="","",_xlfn.XLOOKUP(B483,'Raw'!D:D,'Raw'!B:B))</f>
        <v/>
      </c>
    </row>
    <row r="484" spans="1:1" x14ac:dyDescent="0.3">
      <c r="A484" t="str">
        <f>IF(B484="","",_xlfn.XLOOKUP(B484,'Raw'!D:D,'Raw'!B:B))</f>
        <v/>
      </c>
    </row>
    <row r="485" spans="1:1" x14ac:dyDescent="0.3">
      <c r="A485" t="str">
        <f>IF(B485="","",_xlfn.XLOOKUP(B485,'Raw'!D:D,'Raw'!B:B))</f>
        <v/>
      </c>
    </row>
    <row r="486" spans="1:1" x14ac:dyDescent="0.3">
      <c r="A486" t="str">
        <f>IF(B486="","",_xlfn.XLOOKUP(B486,'Raw'!D:D,'Raw'!B:B))</f>
        <v/>
      </c>
    </row>
    <row r="487" spans="1:1" x14ac:dyDescent="0.3">
      <c r="A487" t="str">
        <f>IF(B487="","",_xlfn.XLOOKUP(B487,'Raw'!D:D,'Raw'!B:B))</f>
        <v/>
      </c>
    </row>
    <row r="488" spans="1:1" x14ac:dyDescent="0.3">
      <c r="A488" t="str">
        <f>IF(B488="","",_xlfn.XLOOKUP(B488,'Raw'!D:D,'Raw'!B:B))</f>
        <v/>
      </c>
    </row>
    <row r="489" spans="1:1" x14ac:dyDescent="0.3">
      <c r="A489" t="str">
        <f>IF(B489="","",_xlfn.XLOOKUP(B489,'Raw'!D:D,'Raw'!B:B))</f>
        <v/>
      </c>
    </row>
    <row r="490" spans="1:1" x14ac:dyDescent="0.3">
      <c r="A490" t="str">
        <f>IF(B490="","",_xlfn.XLOOKUP(B490,'Raw'!D:D,'Raw'!B:B))</f>
        <v/>
      </c>
    </row>
    <row r="491" spans="1:1" x14ac:dyDescent="0.3">
      <c r="A491" t="str">
        <f>IF(B491="","",_xlfn.XLOOKUP(B491,'Raw'!D:D,'Raw'!B:B))</f>
        <v/>
      </c>
    </row>
    <row r="492" spans="1:1" x14ac:dyDescent="0.3">
      <c r="A492" t="str">
        <f>IF(B492="","",_xlfn.XLOOKUP(B492,'Raw'!D:D,'Raw'!B:B))</f>
        <v/>
      </c>
    </row>
    <row r="493" spans="1:1" x14ac:dyDescent="0.3">
      <c r="A493" t="str">
        <f>IF(B493="","",_xlfn.XLOOKUP(B493,'Raw'!D:D,'Raw'!B:B))</f>
        <v/>
      </c>
    </row>
    <row r="494" spans="1:1" x14ac:dyDescent="0.3">
      <c r="A494" t="str">
        <f>IF(B494="","",_xlfn.XLOOKUP(B494,'Raw'!D:D,'Raw'!B:B))</f>
        <v/>
      </c>
    </row>
    <row r="495" spans="1:1" x14ac:dyDescent="0.3">
      <c r="A495" t="str">
        <f>IF(B495="","",_xlfn.XLOOKUP(B495,'Raw'!D:D,'Raw'!B:B))</f>
        <v/>
      </c>
    </row>
    <row r="496" spans="1:1" x14ac:dyDescent="0.3">
      <c r="A496" t="str">
        <f>IF(B496="","",_xlfn.XLOOKUP(B496,'Raw'!D:D,'Raw'!B:B))</f>
        <v/>
      </c>
    </row>
    <row r="497" spans="1:1" x14ac:dyDescent="0.3">
      <c r="A497" t="str">
        <f>IF(B497="","",_xlfn.XLOOKUP(B497,'Raw'!D:D,'Raw'!B:B))</f>
        <v/>
      </c>
    </row>
    <row r="498" spans="1:1" x14ac:dyDescent="0.3">
      <c r="A498" t="str">
        <f>IF(B498="","",_xlfn.XLOOKUP(B498,'Raw'!D:D,'Raw'!B:B))</f>
        <v/>
      </c>
    </row>
    <row r="499" spans="1:1" x14ac:dyDescent="0.3">
      <c r="A499" t="str">
        <f>IF(B499="","",_xlfn.XLOOKUP(B499,'Raw'!D:D,'Raw'!B:B))</f>
        <v/>
      </c>
    </row>
    <row r="500" spans="1:1" x14ac:dyDescent="0.3">
      <c r="A500" t="str">
        <f>IF(B500="","",_xlfn.XLOOKUP(B500,'Raw'!D:D,'Raw'!B:B))</f>
        <v/>
      </c>
    </row>
    <row r="501" spans="1:1" x14ac:dyDescent="0.3">
      <c r="A501" t="str">
        <f>IF(B501="","",_xlfn.XLOOKUP(B501,'Raw'!D:D,'Raw'!B:B))</f>
        <v/>
      </c>
    </row>
    <row r="502" spans="1:1" x14ac:dyDescent="0.3">
      <c r="A502" t="str">
        <f>IF(B502="","",_xlfn.XLOOKUP(B502,'Raw'!D:D,'Raw'!B:B))</f>
        <v/>
      </c>
    </row>
    <row r="503" spans="1:1" x14ac:dyDescent="0.3">
      <c r="A503" t="str">
        <f>IF(B503="","",_xlfn.XLOOKUP(B503,'Raw'!D:D,'Raw'!B:B))</f>
        <v/>
      </c>
    </row>
    <row r="504" spans="1:1" x14ac:dyDescent="0.3">
      <c r="A504" t="str">
        <f>IF(B504="","",_xlfn.XLOOKUP(B504,'Raw'!D:D,'Raw'!B:B))</f>
        <v/>
      </c>
    </row>
    <row r="505" spans="1:1" x14ac:dyDescent="0.3">
      <c r="A505" t="str">
        <f>IF(B505="","",_xlfn.XLOOKUP(B505,'Raw'!D:D,'Raw'!B:B))</f>
        <v/>
      </c>
    </row>
    <row r="506" spans="1:1" x14ac:dyDescent="0.3">
      <c r="A506" t="str">
        <f>IF(B506="","",_xlfn.XLOOKUP(B506,'Raw'!D:D,'Raw'!B:B))</f>
        <v/>
      </c>
    </row>
    <row r="507" spans="1:1" x14ac:dyDescent="0.3">
      <c r="A507" t="str">
        <f>IF(B507="","",_xlfn.XLOOKUP(B507,'Raw'!D:D,'Raw'!B:B))</f>
        <v/>
      </c>
    </row>
    <row r="508" spans="1:1" x14ac:dyDescent="0.3">
      <c r="A508" t="str">
        <f>IF(B508="","",_xlfn.XLOOKUP(B508,'Raw'!D:D,'Raw'!B:B))</f>
        <v/>
      </c>
    </row>
    <row r="509" spans="1:1" x14ac:dyDescent="0.3">
      <c r="A509" t="str">
        <f>IF(B509="","",_xlfn.XLOOKUP(B509,'Raw'!D:D,'Raw'!B:B))</f>
        <v/>
      </c>
    </row>
    <row r="510" spans="1:1" x14ac:dyDescent="0.3">
      <c r="A510" t="str">
        <f>IF(B510="","",_xlfn.XLOOKUP(B510,'Raw'!D:D,'Raw'!B:B))</f>
        <v/>
      </c>
    </row>
    <row r="511" spans="1:1" x14ac:dyDescent="0.3">
      <c r="A511" t="str">
        <f>IF(B511="","",_xlfn.XLOOKUP(B511,'Raw'!D:D,'Raw'!B:B))</f>
        <v/>
      </c>
    </row>
    <row r="512" spans="1:1" x14ac:dyDescent="0.3">
      <c r="A512" t="str">
        <f>IF(B512="","",_xlfn.XLOOKUP(B512,'Raw'!D:D,'Raw'!B:B))</f>
        <v/>
      </c>
    </row>
    <row r="513" spans="1:1" x14ac:dyDescent="0.3">
      <c r="A513" t="str">
        <f>IF(B513="","",_xlfn.XLOOKUP(B513,'Raw'!D:D,'Raw'!B:B))</f>
        <v/>
      </c>
    </row>
    <row r="514" spans="1:1" x14ac:dyDescent="0.3">
      <c r="A514" t="str">
        <f>IF(B514="","",_xlfn.XLOOKUP(B514,'Raw'!D:D,'Raw'!B:B))</f>
        <v/>
      </c>
    </row>
    <row r="515" spans="1:1" x14ac:dyDescent="0.3">
      <c r="A515" t="str">
        <f>IF(B515="","",_xlfn.XLOOKUP(B515,'Raw'!D:D,'Raw'!B:B))</f>
        <v/>
      </c>
    </row>
    <row r="516" spans="1:1" x14ac:dyDescent="0.3">
      <c r="A516" t="str">
        <f>IF(B516="","",_xlfn.XLOOKUP(B516,'Raw'!D:D,'Raw'!B:B))</f>
        <v/>
      </c>
    </row>
    <row r="517" spans="1:1" x14ac:dyDescent="0.3">
      <c r="A517" t="str">
        <f>IF(B517="","",_xlfn.XLOOKUP(B517,'Raw'!D:D,'Raw'!B:B))</f>
        <v/>
      </c>
    </row>
    <row r="518" spans="1:1" x14ac:dyDescent="0.3">
      <c r="A518" t="str">
        <f>IF(B518="","",_xlfn.XLOOKUP(B518,'Raw'!D:D,'Raw'!B:B))</f>
        <v/>
      </c>
    </row>
    <row r="519" spans="1:1" x14ac:dyDescent="0.3">
      <c r="A519" t="str">
        <f>IF(B519="","",_xlfn.XLOOKUP(B519,'Raw'!D:D,'Raw'!B:B))</f>
        <v/>
      </c>
    </row>
    <row r="520" spans="1:1" x14ac:dyDescent="0.3">
      <c r="A520" t="str">
        <f>IF(B520="","",_xlfn.XLOOKUP(B520,'Raw'!D:D,'Raw'!B:B))</f>
        <v/>
      </c>
    </row>
    <row r="521" spans="1:1" x14ac:dyDescent="0.3">
      <c r="A521" t="str">
        <f>IF(B521="","",_xlfn.XLOOKUP(B521,'Raw'!D:D,'Raw'!B:B))</f>
        <v/>
      </c>
    </row>
    <row r="522" spans="1:1" x14ac:dyDescent="0.3">
      <c r="A522" t="str">
        <f>IF(B522="","",_xlfn.XLOOKUP(B522,'Raw'!D:D,'Raw'!B:B))</f>
        <v/>
      </c>
    </row>
    <row r="523" spans="1:1" x14ac:dyDescent="0.3">
      <c r="A523" t="str">
        <f>IF(B523="","",_xlfn.XLOOKUP(B523,'Raw'!D:D,'Raw'!B:B))</f>
        <v/>
      </c>
    </row>
    <row r="524" spans="1:1" x14ac:dyDescent="0.3">
      <c r="A524" t="str">
        <f>IF(B524="","",_xlfn.XLOOKUP(B524,'Raw'!D:D,'Raw'!B:B))</f>
        <v/>
      </c>
    </row>
    <row r="525" spans="1:1" x14ac:dyDescent="0.3">
      <c r="A525" t="str">
        <f>IF(B525="","",_xlfn.XLOOKUP(B525,'Raw'!D:D,'Raw'!B:B))</f>
        <v/>
      </c>
    </row>
    <row r="526" spans="1:1" x14ac:dyDescent="0.3">
      <c r="A526" t="str">
        <f>IF(B526="","",_xlfn.XLOOKUP(B526,'Raw'!D:D,'Raw'!B:B))</f>
        <v/>
      </c>
    </row>
    <row r="527" spans="1:1" x14ac:dyDescent="0.3">
      <c r="A527" t="str">
        <f>IF(B527="","",_xlfn.XLOOKUP(B527,'Raw'!D:D,'Raw'!B:B))</f>
        <v/>
      </c>
    </row>
    <row r="528" spans="1:1" x14ac:dyDescent="0.3">
      <c r="A528" t="str">
        <f>IF(B528="","",_xlfn.XLOOKUP(B528,'Raw'!D:D,'Raw'!B:B))</f>
        <v/>
      </c>
    </row>
    <row r="529" spans="1:1" x14ac:dyDescent="0.3">
      <c r="A529" t="str">
        <f>IF(B529="","",_xlfn.XLOOKUP(B529,'Raw'!D:D,'Raw'!B:B))</f>
        <v/>
      </c>
    </row>
    <row r="530" spans="1:1" x14ac:dyDescent="0.3">
      <c r="A530" t="str">
        <f>IF(B530="","",_xlfn.XLOOKUP(B530,'Raw'!D:D,'Raw'!B:B))</f>
        <v/>
      </c>
    </row>
    <row r="531" spans="1:1" x14ac:dyDescent="0.3">
      <c r="A531" t="str">
        <f>IF(B531="","",_xlfn.XLOOKUP(B531,'Raw'!D:D,'Raw'!B:B))</f>
        <v/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8B03A3-48A6-4961-96ED-0064E31243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Raw</vt:lpstr>
      <vt:lpstr>Price</vt:lpstr>
      <vt:lpstr>Day Wise Exursion</vt:lpstr>
      <vt:lpstr>Sheet1</vt:lpstr>
      <vt:lpstr>Sheet2</vt:lpstr>
      <vt:lpstr>City</vt:lpstr>
      <vt:lpstr>Day_Wise_Exursion</vt:lpstr>
      <vt:lpstr>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Navin Kumar Mishra</cp:lastModifiedBy>
  <cp:lastPrinted>2025-09-01T16:37:05Z</cp:lastPrinted>
  <dcterms:created xsi:type="dcterms:W3CDTF">2025-06-20T01:21:26Z</dcterms:created>
  <dcterms:modified xsi:type="dcterms:W3CDTF">2026-07-21T13:16:19Z</dcterms:modified>
</cp:coreProperties>
</file>